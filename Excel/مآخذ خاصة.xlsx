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EF0C070E-F25B-46D1-8FD9-26ADDF0AC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1" l="1"/>
  <c r="Y7" i="1"/>
  <c r="Y9" i="1"/>
  <c r="Y10" i="1"/>
  <c r="Y11" i="1"/>
  <c r="Y12" i="1"/>
  <c r="Y13" i="1"/>
  <c r="Y14" i="1"/>
  <c r="Y15" i="1"/>
  <c r="Y16" i="1"/>
  <c r="Y6" i="1"/>
  <c r="Y5" i="1"/>
  <c r="Y4" i="1"/>
  <c r="O5" i="1"/>
  <c r="L5" i="1" s="1"/>
  <c r="O6" i="1"/>
  <c r="L6" i="1" s="1"/>
  <c r="O7" i="1"/>
  <c r="L7" i="1" s="1"/>
  <c r="O8" i="1"/>
  <c r="L8" i="1" s="1"/>
  <c r="O9" i="1"/>
  <c r="L9" i="1" s="1"/>
  <c r="O10" i="1"/>
  <c r="L10" i="1" s="1"/>
  <c r="O11" i="1"/>
  <c r="L11" i="1" s="1"/>
  <c r="O12" i="1"/>
  <c r="L12" i="1" s="1"/>
  <c r="O13" i="1"/>
  <c r="L13" i="1" s="1"/>
  <c r="O14" i="1"/>
  <c r="L14" i="1" s="1"/>
  <c r="O15" i="1"/>
  <c r="L15" i="1" s="1"/>
  <c r="O16" i="1"/>
  <c r="L16" i="1" s="1"/>
  <c r="P4" i="1"/>
  <c r="O4" i="1" s="1"/>
  <c r="L4" i="1" s="1"/>
  <c r="B5" i="1"/>
</calcChain>
</file>

<file path=xl/sharedStrings.xml><?xml version="1.0" encoding="utf-8"?>
<sst xmlns="http://schemas.openxmlformats.org/spreadsheetml/2006/main" count="227" uniqueCount="98">
  <si>
    <t>Room</t>
  </si>
  <si>
    <t xml:space="preserve">Entrance </t>
  </si>
  <si>
    <t>Guard room</t>
  </si>
  <si>
    <t xml:space="preserve">waiting </t>
  </si>
  <si>
    <t>ATM</t>
  </si>
  <si>
    <t>Cash counters</t>
  </si>
  <si>
    <t>Support office</t>
  </si>
  <si>
    <t>Custmers service</t>
  </si>
  <si>
    <t>Guard</t>
  </si>
  <si>
    <t>Vault Room</t>
  </si>
  <si>
    <t xml:space="preserve">Filling office </t>
  </si>
  <si>
    <t>M.WC</t>
  </si>
  <si>
    <t>F.WC</t>
  </si>
  <si>
    <t xml:space="preserve">Janitor </t>
  </si>
  <si>
    <t>Storage</t>
  </si>
  <si>
    <t xml:space="preserve">Staff ent controle </t>
  </si>
  <si>
    <t>First floor corridors</t>
  </si>
  <si>
    <t>Negotiation office</t>
  </si>
  <si>
    <t xml:space="preserve">Clerk office </t>
  </si>
  <si>
    <t xml:space="preserve">Auditing </t>
  </si>
  <si>
    <t>Credit office</t>
  </si>
  <si>
    <t xml:space="preserve">Second floor corridors </t>
  </si>
  <si>
    <t xml:space="preserve">Meeting room </t>
  </si>
  <si>
    <t>Secretary room</t>
  </si>
  <si>
    <t xml:space="preserve">Manager room </t>
  </si>
  <si>
    <t xml:space="preserve">Third floor corridors </t>
  </si>
  <si>
    <t>Mechine &amp; Data room</t>
  </si>
  <si>
    <t>ماكينة صراف آلي (ATM)</t>
  </si>
  <si>
    <t>جهاز عدّ نقود كهربائي + حاسوب + طابعة صغيرة</t>
  </si>
  <si>
    <t>حاسوب مكتبي + طابعة ليزر</t>
  </si>
  <si>
    <t>شاشة عرض</t>
  </si>
  <si>
    <t>شاشة مراقبة + جهاز DVR لتسجيل الكاميرات</t>
  </si>
  <si>
    <t>حاسوب مكتبي</t>
  </si>
  <si>
    <t>طابعة ليزر صغيرة</t>
  </si>
  <si>
    <t>جهاز عدّ نقود كهربائي</t>
  </si>
  <si>
    <t>جهاز DVR</t>
  </si>
  <si>
    <t>سيرفر صغير</t>
  </si>
  <si>
    <t>UPS صغير</t>
  </si>
  <si>
    <t>مروحة تبريد للسرفر</t>
  </si>
  <si>
    <t>الجهاز الخاص</t>
  </si>
  <si>
    <t>استطاعته [W]</t>
  </si>
  <si>
    <t>PF</t>
  </si>
  <si>
    <t>مواصفات عامة للأجهزة الخاصة</t>
  </si>
  <si>
    <t>طابعة احترافية كبيرة</t>
  </si>
  <si>
    <t>طابعة إحترافية كبيرة + سيرفر + UPS صغير + مروحة تبريد</t>
  </si>
  <si>
    <t>مروحة</t>
  </si>
  <si>
    <t>شراق</t>
  </si>
  <si>
    <t xml:space="preserve">نوع التبريد </t>
  </si>
  <si>
    <t>split unit 0.5 Tone</t>
  </si>
  <si>
    <t>split unit 0.75 Tone</t>
  </si>
  <si>
    <t>split unit 1.5 Tone</t>
  </si>
  <si>
    <t>مبرد ميكانيكي</t>
  </si>
  <si>
    <t>split unit 1 Tone</t>
  </si>
  <si>
    <t>-</t>
  </si>
  <si>
    <t>الاستطاعة [W]</t>
  </si>
  <si>
    <t xml:space="preserve">الأجهزة </t>
  </si>
  <si>
    <t>شاشة مراقبة /عرض</t>
  </si>
  <si>
    <t xml:space="preserve">جدول المآخذ الخاصة </t>
  </si>
  <si>
    <t xml:space="preserve">التفريعات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</si>
  <si>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</si>
  <si>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</si>
  <si>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</si>
  <si>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</si>
  <si>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</si>
  <si>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</si>
  <si>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</si>
  <si>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</si>
  <si>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</si>
  <si>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</si>
  <si>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</si>
  <si>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</si>
  <si>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 xml:space="preserve">مغذاة من </t>
  </si>
  <si>
    <t>SDB-1</t>
  </si>
  <si>
    <t>SDB-2</t>
  </si>
  <si>
    <t>SDB-3</t>
  </si>
  <si>
    <t>∆U%</t>
  </si>
  <si>
    <t>التماسات</t>
  </si>
  <si>
    <t>1p</t>
  </si>
  <si>
    <t>2.407 &lt; 16 &lt; 27</t>
  </si>
  <si>
    <t>0.853 &lt; 16 &lt; 27</t>
  </si>
  <si>
    <t>3.41 &lt; 16 &lt; 27</t>
  </si>
  <si>
    <t>3.547 &lt; 16 &lt; 27</t>
  </si>
  <si>
    <t>16.784 &lt; 20 &lt; 36</t>
  </si>
  <si>
    <t>0.569 &lt; 16 &lt; 27</t>
  </si>
  <si>
    <t>جدول مواصفات قواطع تفريعات المآخذ الخاصة</t>
  </si>
  <si>
    <t xml:space="preserve">جدول حسابات تفريعات المآخذ الخاصة </t>
  </si>
  <si>
    <t>استطاعتها [W]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</si>
  <si>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N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</si>
  <si>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A [mm</t>
    </r>
    <r>
      <rPr>
        <b/>
        <vertAlign val="superscript"/>
        <sz val="12"/>
        <color theme="1"/>
        <rFont val="Times New Roman"/>
        <family val="1"/>
        <scheme val="major"/>
      </rPr>
      <t>2</t>
    </r>
    <r>
      <rPr>
        <b/>
        <sz val="12"/>
        <color theme="1"/>
        <rFont val="Times New Roman"/>
        <family val="1"/>
        <scheme val="major"/>
      </rPr>
      <t>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</si>
  <si>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L</t>
    </r>
    <r>
      <rPr>
        <b/>
        <sz val="12"/>
        <color theme="1"/>
        <rFont val="Times New Roman"/>
        <family val="1"/>
        <scheme val="major"/>
      </rPr>
      <t xml:space="preserve"> [A]</t>
    </r>
  </si>
  <si>
    <t>استطاعتها  [W]</t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</si>
  <si>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cut</t>
    </r>
    <r>
      <rPr>
        <b/>
        <sz val="12"/>
        <color theme="1"/>
        <rFont val="Times New Roman"/>
        <family val="1"/>
        <scheme val="major"/>
      </rPr>
      <t xml:space="preserve"> [KA]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</si>
  <si>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 xml:space="preserve">L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 xml:space="preserve">NCB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>z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</si>
  <si>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m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</si>
  <si>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r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</si>
  <si>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NCB</t>
    </r>
    <r>
      <rPr>
        <b/>
        <sz val="12"/>
        <color theme="1"/>
        <rFont val="Times New Roman"/>
        <family val="1"/>
        <scheme val="major"/>
      </rPr>
      <t xml:space="preserve"> [A]</t>
    </r>
  </si>
  <si>
    <t>المسار</t>
  </si>
  <si>
    <t>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</si>
</sst>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8"/>
      <name val="Arial"/>
      <family val="2"/>
      <scheme val="minor"/>
    </font>
    <font>
      <sz val="12"/>
      <color theme="1"/>
      <name val="Times New Roman"/>
      <family val="1"/>
      <scheme val="major"/>
    </font>
    <font>
      <b/>
      <vertAlign val="subscript"/>
      <sz val="12"/>
      <color theme="1"/>
      <name val="Times New Roman"/>
      <family val="1"/>
      <scheme val="major"/>
    </font>
    <font>
      <b/>
      <vertAlign val="superscript"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F60"/>
  <sheetViews>
    <sheetView tabSelected="1" zoomScale="80" zoomScaleNormal="80" workbookViewId="0">
      <selection activeCell="E26" activeCellId="6" sqref="D3:E3 D5:E5 D7:E7 D8:E10 D17:E17 D21:E24 D26:E28"/>
    </sheetView>
  </sheetViews>
  <sheetFormatPr defaultRowHeight="15.6" x14ac:dyDescent="0.25"/>
  <cols>
    <col min="2" max="2" width="10.5" style="11" customWidth="1"/>
    <col min="3" max="3" width="12.796875" style="11" customWidth="1"/>
    <col min="4" max="4" width="16" style="12" bestFit="1" customWidth="1"/>
    <col min="5" max="5" width="22.09765625" style="12" customWidth="1"/>
    <col min="6" max="6" width="8.796875" style="14"/>
    <col min="7" max="7" width="15.296875" style="14" customWidth="1"/>
    <col min="8" max="8" width="10" style="14" customWidth="1"/>
    <col min="9" max="10" width="14.296875" style="14" customWidth="1"/>
    <col min="11" max="11" width="17.796875" style="14" customWidth="1"/>
    <col min="12" max="12" width="7.69921875" style="14" customWidth="1"/>
    <col min="13" max="13" width="6.8984375" style="14" customWidth="1"/>
    <col min="14" max="14" width="8.796875" style="14"/>
    <col min="15" max="15" width="7.8984375" style="14" customWidth="1"/>
    <col min="16" max="16" width="6.3984375" style="14" customWidth="1"/>
    <col min="17" max="17" width="8.796875" style="14"/>
    <col min="18" max="18" width="16.5" style="14" customWidth="1"/>
    <col min="19" max="19" width="8.796875" style="14"/>
    <col min="20" max="20" width="8.5" style="14" customWidth="1"/>
    <col min="21" max="21" width="8.796875" style="14"/>
    <col min="22" max="22" width="9.296875" style="14" customWidth="1"/>
    <col min="23" max="23" width="16.296875" style="14" customWidth="1"/>
    <col min="24" max="24" width="8.796875" style="14"/>
    <col min="25" max="25" width="11.69921875" style="14" customWidth="1"/>
    <col min="26" max="26" width="9.09765625" style="14" customWidth="1"/>
    <col min="27" max="28" width="8.796875" style="14"/>
  </cols>
  <sheetData>
    <row r="2" spans="1:58" ht="45.6" customHeight="1" x14ac:dyDescent="0.25">
      <c r="B2" s="19" t="s">
        <v>57</v>
      </c>
      <c r="C2" s="19"/>
      <c r="D2" s="19"/>
      <c r="E2" s="19"/>
      <c r="F2" s="13"/>
      <c r="H2" s="17" t="s">
        <v>42</v>
      </c>
      <c r="I2" s="17"/>
      <c r="J2" s="17"/>
      <c r="L2" s="18" t="s">
        <v>85</v>
      </c>
      <c r="M2" s="18"/>
      <c r="N2" s="18"/>
      <c r="O2" s="18"/>
      <c r="P2" s="18"/>
      <c r="Q2" s="18"/>
      <c r="R2" s="18"/>
      <c r="S2" s="18"/>
      <c r="T2" s="18"/>
      <c r="V2" s="17" t="s">
        <v>84</v>
      </c>
      <c r="W2" s="17"/>
      <c r="X2" s="17"/>
      <c r="Y2" s="17"/>
      <c r="Z2" s="17"/>
      <c r="AA2" s="17"/>
      <c r="AB2" s="17"/>
    </row>
    <row r="3" spans="1:58" ht="45.6" customHeight="1" x14ac:dyDescent="0.25">
      <c r="A3" s="2"/>
      <c r="B3" s="7" t="s">
        <v>41</v>
      </c>
      <c r="C3" s="7" t="s">
        <v>86</v>
      </c>
      <c r="D3" s="8" t="s">
        <v>55</v>
      </c>
      <c r="E3" s="7" t="s">
        <v>0</v>
      </c>
      <c r="F3" s="15"/>
      <c r="G3" s="16"/>
      <c r="H3" s="8" t="s">
        <v>41</v>
      </c>
      <c r="I3" s="7" t="s">
        <v>40</v>
      </c>
      <c r="J3" s="7" t="s">
        <v>39</v>
      </c>
      <c r="L3" s="7" t="s">
        <v>75</v>
      </c>
      <c r="M3" s="7" t="s">
        <v>87</v>
      </c>
      <c r="N3" s="7" t="s">
        <v>88</v>
      </c>
      <c r="O3" s="7" t="s">
        <v>89</v>
      </c>
      <c r="P3" s="8" t="s">
        <v>41</v>
      </c>
      <c r="Q3" s="8" t="s">
        <v>90</v>
      </c>
      <c r="R3" s="8" t="s">
        <v>96</v>
      </c>
      <c r="S3" s="7" t="s">
        <v>71</v>
      </c>
      <c r="T3" s="7" t="s">
        <v>58</v>
      </c>
      <c r="V3" s="7" t="s">
        <v>91</v>
      </c>
      <c r="W3" s="7" t="s">
        <v>92</v>
      </c>
      <c r="X3" s="7" t="s">
        <v>93</v>
      </c>
      <c r="Y3" s="7" t="s">
        <v>94</v>
      </c>
      <c r="Z3" s="7" t="s">
        <v>95</v>
      </c>
      <c r="AA3" s="7" t="s">
        <v>76</v>
      </c>
      <c r="AB3" s="7" t="s">
        <v>58</v>
      </c>
      <c r="AC3" s="2"/>
    </row>
    <row r="4" spans="1:58" ht="44.4" customHeight="1" x14ac:dyDescent="0.25">
      <c r="A4" s="2"/>
      <c r="B4" s="10" t="s">
        <v>53</v>
      </c>
      <c r="C4" s="10" t="s">
        <v>53</v>
      </c>
      <c r="D4" s="10" t="s">
        <v>53</v>
      </c>
      <c r="E4" s="7" t="s">
        <v>1</v>
      </c>
      <c r="F4" s="16"/>
      <c r="G4" s="16"/>
      <c r="H4" s="6">
        <v>0.9</v>
      </c>
      <c r="I4" s="5">
        <v>300</v>
      </c>
      <c r="J4" s="3" t="s">
        <v>32</v>
      </c>
      <c r="L4" s="5">
        <f>ROUNDUP(((2*((0.0178*36)/N4)*O4*P4)/220)*100,3)</f>
        <v>0.16</v>
      </c>
      <c r="M4" s="5">
        <v>16</v>
      </c>
      <c r="N4" s="5">
        <v>2.5</v>
      </c>
      <c r="O4" s="5">
        <f>ROUNDUP(Q4/(220*P4),3)</f>
        <v>0.85299999999999998</v>
      </c>
      <c r="P4" s="5">
        <f>0.8</f>
        <v>0.8</v>
      </c>
      <c r="Q4" s="5">
        <v>150</v>
      </c>
      <c r="R4" s="6" t="s">
        <v>2</v>
      </c>
      <c r="S4" s="5" t="s">
        <v>72</v>
      </c>
      <c r="T4" s="5" t="s">
        <v>59</v>
      </c>
      <c r="V4" s="5">
        <v>3</v>
      </c>
      <c r="W4" s="5" t="s">
        <v>79</v>
      </c>
      <c r="X4" s="5">
        <v>160</v>
      </c>
      <c r="Y4" s="5">
        <f>16*1.13</f>
        <v>18.079999999999998</v>
      </c>
      <c r="Z4" s="5">
        <v>16</v>
      </c>
      <c r="AA4" s="5" t="s">
        <v>77</v>
      </c>
      <c r="AB4" s="5" t="s">
        <v>59</v>
      </c>
      <c r="AC4" s="2"/>
    </row>
    <row r="5" spans="1:58" ht="44.4" customHeight="1" x14ac:dyDescent="0.25">
      <c r="A5" s="2"/>
      <c r="B5" s="9">
        <f>0.8</f>
        <v>0.8</v>
      </c>
      <c r="C5" s="9">
        <v>150</v>
      </c>
      <c r="D5" s="10" t="s">
        <v>31</v>
      </c>
      <c r="E5" s="7" t="s">
        <v>2</v>
      </c>
      <c r="F5" s="15"/>
      <c r="G5" s="16"/>
      <c r="H5" s="6">
        <v>0.8</v>
      </c>
      <c r="I5" s="5">
        <v>150</v>
      </c>
      <c r="J5" s="3" t="s">
        <v>33</v>
      </c>
      <c r="L5" s="5">
        <f t="shared" ref="L5:L16" si="0">ROUNDUP(((2*((0.0178*36)/N5)*O5*P5)/220)*100,3)</f>
        <v>0.63600000000000001</v>
      </c>
      <c r="M5" s="5">
        <v>16</v>
      </c>
      <c r="N5" s="5">
        <v>2.5</v>
      </c>
      <c r="O5" s="5">
        <f t="shared" ref="O5:O16" si="1">ROUNDUP(Q5/(220*P5),3)</f>
        <v>3.4099999999999997</v>
      </c>
      <c r="P5" s="5">
        <v>0.8</v>
      </c>
      <c r="Q5" s="5">
        <v>600</v>
      </c>
      <c r="R5" s="6" t="s">
        <v>4</v>
      </c>
      <c r="S5" s="5" t="s">
        <v>72</v>
      </c>
      <c r="T5" s="5" t="s">
        <v>60</v>
      </c>
      <c r="V5" s="5">
        <v>3</v>
      </c>
      <c r="W5" s="5" t="s">
        <v>80</v>
      </c>
      <c r="X5" s="5">
        <v>160</v>
      </c>
      <c r="Y5" s="5">
        <f t="shared" ref="Y5:Y16" si="2">16*1.13</f>
        <v>18.079999999999998</v>
      </c>
      <c r="Z5" s="5">
        <v>16</v>
      </c>
      <c r="AA5" s="5" t="s">
        <v>77</v>
      </c>
      <c r="AB5" s="5" t="s">
        <v>60</v>
      </c>
      <c r="AC5" s="2"/>
    </row>
    <row r="6" spans="1:58" ht="44.4" customHeight="1" x14ac:dyDescent="0.25">
      <c r="A6" s="2"/>
      <c r="B6" s="10" t="s">
        <v>53</v>
      </c>
      <c r="C6" s="10" t="s">
        <v>53</v>
      </c>
      <c r="D6" s="10" t="s">
        <v>53</v>
      </c>
      <c r="E6" s="7" t="s">
        <v>3</v>
      </c>
      <c r="F6" s="16"/>
      <c r="G6" s="16"/>
      <c r="H6" s="6">
        <v>0.8</v>
      </c>
      <c r="I6" s="5">
        <v>600</v>
      </c>
      <c r="J6" s="3" t="s">
        <v>27</v>
      </c>
      <c r="L6" s="5">
        <f t="shared" si="0"/>
        <v>0.68899999999999995</v>
      </c>
      <c r="M6" s="5">
        <v>16</v>
      </c>
      <c r="N6" s="5">
        <v>2.5</v>
      </c>
      <c r="O6" s="5">
        <f t="shared" si="1"/>
        <v>3.5469999999999997</v>
      </c>
      <c r="P6" s="5">
        <v>0.83299999999999996</v>
      </c>
      <c r="Q6" s="5">
        <v>650</v>
      </c>
      <c r="R6" s="6" t="s">
        <v>5</v>
      </c>
      <c r="S6" s="5" t="s">
        <v>72</v>
      </c>
      <c r="T6" s="5" t="s">
        <v>61</v>
      </c>
      <c r="V6" s="5">
        <v>3</v>
      </c>
      <c r="W6" s="5" t="s">
        <v>81</v>
      </c>
      <c r="X6" s="5">
        <v>160</v>
      </c>
      <c r="Y6" s="5">
        <f t="shared" si="2"/>
        <v>18.079999999999998</v>
      </c>
      <c r="Z6" s="5">
        <v>16</v>
      </c>
      <c r="AA6" s="5" t="s">
        <v>77</v>
      </c>
      <c r="AB6" s="5" t="s">
        <v>61</v>
      </c>
      <c r="AC6" s="2"/>
    </row>
    <row r="7" spans="1:58" ht="44.4" customHeight="1" x14ac:dyDescent="0.25">
      <c r="A7" s="2"/>
      <c r="B7" s="9">
        <v>0.8</v>
      </c>
      <c r="C7" s="9">
        <v>600</v>
      </c>
      <c r="D7" s="10" t="s">
        <v>27</v>
      </c>
      <c r="E7" s="7" t="s">
        <v>4</v>
      </c>
      <c r="F7" s="15"/>
      <c r="G7" s="16"/>
      <c r="H7" s="6">
        <v>0.8</v>
      </c>
      <c r="I7" s="5">
        <v>200</v>
      </c>
      <c r="J7" s="3" t="s">
        <v>34</v>
      </c>
      <c r="L7" s="5">
        <f t="shared" si="0"/>
        <v>0.47699999999999998</v>
      </c>
      <c r="M7" s="5">
        <v>16</v>
      </c>
      <c r="N7" s="5">
        <v>2.5</v>
      </c>
      <c r="O7" s="5">
        <f t="shared" si="1"/>
        <v>2.407</v>
      </c>
      <c r="P7" s="5">
        <v>0.85</v>
      </c>
      <c r="Q7" s="5">
        <v>450</v>
      </c>
      <c r="R7" s="6" t="s">
        <v>6</v>
      </c>
      <c r="S7" s="5" t="s">
        <v>72</v>
      </c>
      <c r="T7" s="5" t="s">
        <v>62</v>
      </c>
      <c r="V7" s="5">
        <v>3</v>
      </c>
      <c r="W7" s="5" t="s">
        <v>78</v>
      </c>
      <c r="X7" s="5">
        <v>160</v>
      </c>
      <c r="Y7" s="5">
        <f t="shared" si="2"/>
        <v>18.079999999999998</v>
      </c>
      <c r="Z7" s="5">
        <v>16</v>
      </c>
      <c r="AA7" s="5" t="s">
        <v>77</v>
      </c>
      <c r="AB7" s="5" t="s">
        <v>62</v>
      </c>
      <c r="AC7" s="2"/>
    </row>
    <row r="8" spans="1:58" ht="44.4" customHeight="1" x14ac:dyDescent="0.25">
      <c r="A8" s="2"/>
      <c r="B8" s="9">
        <v>0.83299999999999996</v>
      </c>
      <c r="C8" s="9">
        <v>650</v>
      </c>
      <c r="D8" s="10" t="s">
        <v>28</v>
      </c>
      <c r="E8" s="7" t="s">
        <v>5</v>
      </c>
      <c r="F8" s="15"/>
      <c r="G8" s="16"/>
      <c r="H8" s="6">
        <v>0.8</v>
      </c>
      <c r="I8" s="5">
        <v>100</v>
      </c>
      <c r="J8" s="3" t="s">
        <v>56</v>
      </c>
      <c r="L8" s="5">
        <f t="shared" si="0"/>
        <v>0.47699999999999998</v>
      </c>
      <c r="M8" s="5">
        <v>16</v>
      </c>
      <c r="N8" s="5">
        <v>2.5</v>
      </c>
      <c r="O8" s="5">
        <f t="shared" si="1"/>
        <v>2.407</v>
      </c>
      <c r="P8" s="5">
        <v>0.85</v>
      </c>
      <c r="Q8" s="5">
        <v>450</v>
      </c>
      <c r="R8" s="6" t="s">
        <v>7</v>
      </c>
      <c r="S8" s="5" t="s">
        <v>72</v>
      </c>
      <c r="T8" s="5" t="s">
        <v>63</v>
      </c>
      <c r="V8" s="5">
        <v>3</v>
      </c>
      <c r="W8" s="5" t="s">
        <v>78</v>
      </c>
      <c r="X8" s="5">
        <v>20</v>
      </c>
      <c r="Y8" s="5">
        <f>20*1.13</f>
        <v>22.599999999999998</v>
      </c>
      <c r="Z8" s="5">
        <v>20</v>
      </c>
      <c r="AA8" s="5" t="s">
        <v>77</v>
      </c>
      <c r="AB8" s="5" t="s">
        <v>63</v>
      </c>
      <c r="AC8" s="2"/>
    </row>
    <row r="9" spans="1:58" ht="44.4" customHeight="1" x14ac:dyDescent="0.25">
      <c r="A9" s="2"/>
      <c r="B9" s="9">
        <v>0.85</v>
      </c>
      <c r="C9" s="9">
        <v>450</v>
      </c>
      <c r="D9" s="10" t="s">
        <v>29</v>
      </c>
      <c r="E9" s="7" t="s">
        <v>6</v>
      </c>
      <c r="F9" s="15"/>
      <c r="G9" s="16"/>
      <c r="H9" s="6">
        <v>0.8</v>
      </c>
      <c r="I9" s="5">
        <v>50</v>
      </c>
      <c r="J9" s="3" t="s">
        <v>35</v>
      </c>
      <c r="L9" s="5">
        <f t="shared" si="0"/>
        <v>1.9869999999999999</v>
      </c>
      <c r="M9" s="5">
        <v>20</v>
      </c>
      <c r="N9" s="5">
        <v>4</v>
      </c>
      <c r="O9" s="5">
        <f t="shared" si="1"/>
        <v>16.784000000000002</v>
      </c>
      <c r="P9" s="5">
        <v>0.8125</v>
      </c>
      <c r="Q9" s="5">
        <v>3000</v>
      </c>
      <c r="R9" s="6" t="s">
        <v>26</v>
      </c>
      <c r="S9" s="5" t="s">
        <v>72</v>
      </c>
      <c r="T9" s="5" t="s">
        <v>64</v>
      </c>
      <c r="V9" s="5">
        <v>3</v>
      </c>
      <c r="W9" s="5" t="s">
        <v>82</v>
      </c>
      <c r="X9" s="5">
        <v>160</v>
      </c>
      <c r="Y9" s="5">
        <f t="shared" si="2"/>
        <v>18.079999999999998</v>
      </c>
      <c r="Z9" s="5">
        <v>16</v>
      </c>
      <c r="AA9" s="5" t="s">
        <v>77</v>
      </c>
      <c r="AB9" s="5" t="s">
        <v>64</v>
      </c>
      <c r="AC9" s="2"/>
      <c r="BF9">
        <v>0</v>
      </c>
    </row>
    <row r="10" spans="1:58" ht="44.4" customHeight="1" x14ac:dyDescent="0.25">
      <c r="A10" s="2"/>
      <c r="B10" s="9">
        <v>0.85</v>
      </c>
      <c r="C10" s="9">
        <v>450</v>
      </c>
      <c r="D10" s="10" t="s">
        <v>29</v>
      </c>
      <c r="E10" s="7" t="s">
        <v>7</v>
      </c>
      <c r="F10" s="15"/>
      <c r="G10" s="16"/>
      <c r="H10" s="6">
        <v>0.8</v>
      </c>
      <c r="I10" s="5">
        <v>500</v>
      </c>
      <c r="J10" s="3" t="s">
        <v>36</v>
      </c>
      <c r="L10" s="5">
        <f t="shared" si="0"/>
        <v>0.47699999999999998</v>
      </c>
      <c r="M10" s="5">
        <v>16</v>
      </c>
      <c r="N10" s="5">
        <v>2.5</v>
      </c>
      <c r="O10" s="5">
        <f t="shared" si="1"/>
        <v>2.407</v>
      </c>
      <c r="P10" s="5">
        <v>0.85</v>
      </c>
      <c r="Q10" s="5">
        <v>450</v>
      </c>
      <c r="R10" s="6" t="s">
        <v>17</v>
      </c>
      <c r="S10" s="5" t="s">
        <v>73</v>
      </c>
      <c r="T10" s="5" t="s">
        <v>65</v>
      </c>
      <c r="V10" s="5">
        <v>3</v>
      </c>
      <c r="W10" s="5" t="s">
        <v>78</v>
      </c>
      <c r="X10" s="5">
        <v>160</v>
      </c>
      <c r="Y10" s="5">
        <f t="shared" si="2"/>
        <v>18.079999999999998</v>
      </c>
      <c r="Z10" s="5">
        <v>16</v>
      </c>
      <c r="AA10" s="5" t="s">
        <v>77</v>
      </c>
      <c r="AB10" s="5" t="s">
        <v>65</v>
      </c>
      <c r="AC10" s="2"/>
    </row>
    <row r="11" spans="1:58" ht="44.4" customHeight="1" x14ac:dyDescent="0.25">
      <c r="A11" s="2"/>
      <c r="B11" s="10" t="s">
        <v>53</v>
      </c>
      <c r="C11" s="10" t="s">
        <v>53</v>
      </c>
      <c r="D11" s="10" t="s">
        <v>53</v>
      </c>
      <c r="E11" s="7" t="s">
        <v>8</v>
      </c>
      <c r="F11" s="16"/>
      <c r="G11" s="16"/>
      <c r="H11" s="6">
        <v>0.7</v>
      </c>
      <c r="I11" s="5">
        <v>800</v>
      </c>
      <c r="J11" s="3" t="s">
        <v>37</v>
      </c>
      <c r="L11" s="5">
        <f t="shared" si="0"/>
        <v>0.47699999999999998</v>
      </c>
      <c r="M11" s="5">
        <v>16</v>
      </c>
      <c r="N11" s="5">
        <v>2.5</v>
      </c>
      <c r="O11" s="5">
        <f t="shared" si="1"/>
        <v>2.407</v>
      </c>
      <c r="P11" s="5">
        <v>0.85</v>
      </c>
      <c r="Q11" s="5">
        <v>450</v>
      </c>
      <c r="R11" s="6" t="s">
        <v>18</v>
      </c>
      <c r="S11" s="5" t="s">
        <v>73</v>
      </c>
      <c r="T11" s="5" t="s">
        <v>66</v>
      </c>
      <c r="V11" s="5">
        <v>3</v>
      </c>
      <c r="W11" s="5" t="s">
        <v>78</v>
      </c>
      <c r="X11" s="5">
        <v>160</v>
      </c>
      <c r="Y11" s="5">
        <f t="shared" si="2"/>
        <v>18.079999999999998</v>
      </c>
      <c r="Z11" s="5">
        <v>16</v>
      </c>
      <c r="AA11" s="5" t="s">
        <v>77</v>
      </c>
      <c r="AB11" s="5" t="s">
        <v>66</v>
      </c>
      <c r="AC11" s="2"/>
    </row>
    <row r="12" spans="1:58" ht="44.4" customHeight="1" x14ac:dyDescent="0.25">
      <c r="A12" s="2"/>
      <c r="B12" s="10" t="s">
        <v>53</v>
      </c>
      <c r="C12" s="10" t="s">
        <v>53</v>
      </c>
      <c r="D12" s="10" t="s">
        <v>53</v>
      </c>
      <c r="E12" s="7" t="s">
        <v>9</v>
      </c>
      <c r="F12" s="16"/>
      <c r="G12" s="16"/>
      <c r="H12" s="6">
        <v>0.85</v>
      </c>
      <c r="I12" s="5">
        <v>200</v>
      </c>
      <c r="J12" s="3" t="s">
        <v>38</v>
      </c>
      <c r="L12" s="5">
        <f t="shared" si="0"/>
        <v>0.47699999999999998</v>
      </c>
      <c r="M12" s="5">
        <v>16</v>
      </c>
      <c r="N12" s="5">
        <v>2.5</v>
      </c>
      <c r="O12" s="5">
        <f t="shared" si="1"/>
        <v>2.407</v>
      </c>
      <c r="P12" s="5">
        <v>0.85</v>
      </c>
      <c r="Q12" s="5">
        <v>450</v>
      </c>
      <c r="R12" s="6" t="s">
        <v>19</v>
      </c>
      <c r="S12" s="5" t="s">
        <v>73</v>
      </c>
      <c r="T12" s="5" t="s">
        <v>67</v>
      </c>
      <c r="V12" s="5">
        <v>3</v>
      </c>
      <c r="W12" s="5" t="s">
        <v>78</v>
      </c>
      <c r="X12" s="5">
        <v>160</v>
      </c>
      <c r="Y12" s="5">
        <f t="shared" si="2"/>
        <v>18.079999999999998</v>
      </c>
      <c r="Z12" s="5">
        <v>16</v>
      </c>
      <c r="AA12" s="5" t="s">
        <v>77</v>
      </c>
      <c r="AB12" s="5" t="s">
        <v>67</v>
      </c>
      <c r="AC12" s="2"/>
    </row>
    <row r="13" spans="1:58" ht="44.4" customHeight="1" x14ac:dyDescent="0.25">
      <c r="A13" s="2"/>
      <c r="B13" s="10" t="s">
        <v>53</v>
      </c>
      <c r="C13" s="10" t="s">
        <v>53</v>
      </c>
      <c r="D13" s="10" t="s">
        <v>53</v>
      </c>
      <c r="E13" s="7" t="s">
        <v>10</v>
      </c>
      <c r="F13" s="16"/>
      <c r="G13" s="16"/>
      <c r="H13" s="6">
        <v>0.9</v>
      </c>
      <c r="I13" s="5">
        <v>1500</v>
      </c>
      <c r="J13" s="1" t="s">
        <v>43</v>
      </c>
      <c r="L13" s="5">
        <f t="shared" si="0"/>
        <v>0.47699999999999998</v>
      </c>
      <c r="M13" s="5">
        <v>16</v>
      </c>
      <c r="N13" s="5">
        <v>2.5</v>
      </c>
      <c r="O13" s="5">
        <f t="shared" si="1"/>
        <v>2.407</v>
      </c>
      <c r="P13" s="5">
        <v>0.85</v>
      </c>
      <c r="Q13" s="5">
        <v>450</v>
      </c>
      <c r="R13" s="6" t="s">
        <v>20</v>
      </c>
      <c r="S13" s="5" t="s">
        <v>73</v>
      </c>
      <c r="T13" s="5" t="s">
        <v>68</v>
      </c>
      <c r="V13" s="5">
        <v>3</v>
      </c>
      <c r="W13" s="5" t="s">
        <v>78</v>
      </c>
      <c r="X13" s="5">
        <v>160</v>
      </c>
      <c r="Y13" s="5">
        <f t="shared" si="2"/>
        <v>18.079999999999998</v>
      </c>
      <c r="Z13" s="5">
        <v>16</v>
      </c>
      <c r="AA13" s="5" t="s">
        <v>77</v>
      </c>
      <c r="AB13" s="5" t="s">
        <v>68</v>
      </c>
      <c r="AC13" s="2"/>
    </row>
    <row r="14" spans="1:58" ht="44.4" customHeight="1" x14ac:dyDescent="0.25">
      <c r="A14" s="2"/>
      <c r="B14" s="10" t="s">
        <v>53</v>
      </c>
      <c r="C14" s="10" t="s">
        <v>53</v>
      </c>
      <c r="D14" s="10" t="s">
        <v>53</v>
      </c>
      <c r="E14" s="7" t="s">
        <v>11</v>
      </c>
      <c r="F14" s="16"/>
      <c r="G14" s="16"/>
      <c r="L14" s="5">
        <f t="shared" si="0"/>
        <v>0.107</v>
      </c>
      <c r="M14" s="5">
        <v>16</v>
      </c>
      <c r="N14" s="5">
        <v>2.5</v>
      </c>
      <c r="O14" s="5">
        <f t="shared" si="1"/>
        <v>0.56899999999999995</v>
      </c>
      <c r="P14" s="5">
        <v>0.8</v>
      </c>
      <c r="Q14" s="5">
        <v>100</v>
      </c>
      <c r="R14" s="6" t="s">
        <v>22</v>
      </c>
      <c r="S14" s="5" t="s">
        <v>74</v>
      </c>
      <c r="T14" s="5" t="s">
        <v>69</v>
      </c>
      <c r="V14" s="5">
        <v>3</v>
      </c>
      <c r="W14" s="5" t="s">
        <v>83</v>
      </c>
      <c r="X14" s="5">
        <v>160</v>
      </c>
      <c r="Y14" s="5">
        <f t="shared" si="2"/>
        <v>18.079999999999998</v>
      </c>
      <c r="Z14" s="5">
        <v>16</v>
      </c>
      <c r="AA14" s="5" t="s">
        <v>77</v>
      </c>
      <c r="AB14" s="5" t="s">
        <v>68</v>
      </c>
      <c r="AC14" s="2"/>
    </row>
    <row r="15" spans="1:58" ht="44.4" customHeight="1" x14ac:dyDescent="0.25">
      <c r="A15" s="2"/>
      <c r="B15" s="10" t="s">
        <v>53</v>
      </c>
      <c r="C15" s="10" t="s">
        <v>53</v>
      </c>
      <c r="D15" s="10" t="s">
        <v>53</v>
      </c>
      <c r="E15" s="7" t="s">
        <v>12</v>
      </c>
      <c r="F15" s="16"/>
      <c r="G15" s="16"/>
      <c r="L15" s="5">
        <f t="shared" si="0"/>
        <v>0.47699999999999998</v>
      </c>
      <c r="M15" s="5">
        <v>16</v>
      </c>
      <c r="N15" s="5">
        <v>2.5</v>
      </c>
      <c r="O15" s="5">
        <f t="shared" si="1"/>
        <v>2.407</v>
      </c>
      <c r="P15" s="5">
        <v>0.85</v>
      </c>
      <c r="Q15" s="5">
        <v>450</v>
      </c>
      <c r="R15" s="6" t="s">
        <v>23</v>
      </c>
      <c r="S15" s="5" t="s">
        <v>74</v>
      </c>
      <c r="T15" s="5" t="s">
        <v>70</v>
      </c>
      <c r="V15" s="5">
        <v>3</v>
      </c>
      <c r="W15" s="5" t="s">
        <v>78</v>
      </c>
      <c r="X15" s="5">
        <v>160</v>
      </c>
      <c r="Y15" s="5">
        <f t="shared" si="2"/>
        <v>18.079999999999998</v>
      </c>
      <c r="Z15" s="5">
        <v>16</v>
      </c>
      <c r="AA15" s="5" t="s">
        <v>77</v>
      </c>
      <c r="AB15" s="5" t="s">
        <v>69</v>
      </c>
      <c r="AC15" s="2"/>
    </row>
    <row r="16" spans="1:58" ht="44.4" customHeight="1" x14ac:dyDescent="0.25">
      <c r="A16" s="2"/>
      <c r="B16" s="10" t="s">
        <v>53</v>
      </c>
      <c r="C16" s="10" t="s">
        <v>53</v>
      </c>
      <c r="D16" s="10" t="s">
        <v>53</v>
      </c>
      <c r="E16" s="7" t="s">
        <v>13</v>
      </c>
      <c r="F16" s="16"/>
      <c r="G16" s="16"/>
      <c r="L16" s="5">
        <f t="shared" si="0"/>
        <v>0.47699999999999998</v>
      </c>
      <c r="M16" s="5">
        <v>16</v>
      </c>
      <c r="N16" s="5">
        <v>2.5</v>
      </c>
      <c r="O16" s="5">
        <f t="shared" si="1"/>
        <v>2.407</v>
      </c>
      <c r="P16" s="5">
        <v>0.85</v>
      </c>
      <c r="Q16" s="5">
        <v>450</v>
      </c>
      <c r="R16" s="6" t="s">
        <v>24</v>
      </c>
      <c r="S16" s="5" t="s">
        <v>74</v>
      </c>
      <c r="T16" s="5" t="s">
        <v>97</v>
      </c>
      <c r="V16" s="5">
        <v>3</v>
      </c>
      <c r="W16" s="5" t="s">
        <v>78</v>
      </c>
      <c r="X16" s="5">
        <v>160</v>
      </c>
      <c r="Y16" s="5">
        <f t="shared" si="2"/>
        <v>18.079999999999998</v>
      </c>
      <c r="Z16" s="5">
        <v>16</v>
      </c>
      <c r="AA16" s="5" t="s">
        <v>77</v>
      </c>
      <c r="AB16" s="5" t="s">
        <v>70</v>
      </c>
      <c r="AC16" s="2"/>
    </row>
    <row r="17" spans="1:22" ht="44.4" customHeight="1" x14ac:dyDescent="0.25">
      <c r="A17" s="2"/>
      <c r="B17" s="9">
        <v>0.8125</v>
      </c>
      <c r="C17" s="9">
        <v>3000</v>
      </c>
      <c r="D17" s="10" t="s">
        <v>44</v>
      </c>
      <c r="E17" s="7" t="s">
        <v>26</v>
      </c>
      <c r="F17" s="15"/>
      <c r="G17" s="16"/>
      <c r="H17" s="15"/>
      <c r="R17" s="16"/>
      <c r="S17" s="16"/>
      <c r="T17" s="4"/>
      <c r="U17" s="16"/>
      <c r="V17" s="16"/>
    </row>
    <row r="18" spans="1:22" ht="44.4" customHeight="1" x14ac:dyDescent="0.25">
      <c r="A18" s="2"/>
      <c r="B18" s="10" t="s">
        <v>53</v>
      </c>
      <c r="C18" s="10" t="s">
        <v>53</v>
      </c>
      <c r="D18" s="10" t="s">
        <v>53</v>
      </c>
      <c r="E18" s="7" t="s">
        <v>14</v>
      </c>
      <c r="F18" s="15"/>
      <c r="G18" s="16"/>
      <c r="H18" s="15"/>
      <c r="R18" s="16"/>
      <c r="S18" s="16"/>
      <c r="T18" s="4"/>
      <c r="U18" s="16"/>
      <c r="V18" s="16"/>
    </row>
    <row r="19" spans="1:22" ht="44.4" customHeight="1" x14ac:dyDescent="0.25">
      <c r="A19" s="2"/>
      <c r="B19" s="10" t="s">
        <v>53</v>
      </c>
      <c r="C19" s="10" t="s">
        <v>53</v>
      </c>
      <c r="D19" s="10" t="s">
        <v>53</v>
      </c>
      <c r="E19" s="7" t="s">
        <v>15</v>
      </c>
      <c r="F19" s="15"/>
      <c r="G19" s="16"/>
      <c r="H19" s="15"/>
      <c r="R19" s="16"/>
      <c r="S19" s="16"/>
      <c r="T19" s="4"/>
      <c r="U19" s="16"/>
      <c r="V19" s="16"/>
    </row>
    <row r="20" spans="1:22" ht="44.4" customHeight="1" x14ac:dyDescent="0.25">
      <c r="A20" s="2"/>
      <c r="B20" s="10" t="s">
        <v>53</v>
      </c>
      <c r="C20" s="10" t="s">
        <v>53</v>
      </c>
      <c r="D20" s="10" t="s">
        <v>53</v>
      </c>
      <c r="E20" s="7" t="s">
        <v>16</v>
      </c>
      <c r="F20" s="15"/>
      <c r="G20" s="16"/>
      <c r="H20" s="15"/>
      <c r="R20" s="16"/>
      <c r="S20" s="16"/>
      <c r="T20" s="4"/>
      <c r="U20" s="16"/>
      <c r="V20" s="16"/>
    </row>
    <row r="21" spans="1:22" ht="44.4" customHeight="1" x14ac:dyDescent="0.25">
      <c r="A21" s="2"/>
      <c r="B21" s="9">
        <v>0.85</v>
      </c>
      <c r="C21" s="9">
        <v>450</v>
      </c>
      <c r="D21" s="10" t="s">
        <v>29</v>
      </c>
      <c r="E21" s="7" t="s">
        <v>17</v>
      </c>
      <c r="F21" s="15"/>
      <c r="G21" s="16"/>
      <c r="H21" s="15"/>
      <c r="R21" s="16"/>
      <c r="S21" s="16"/>
      <c r="T21" s="4"/>
      <c r="U21" s="16"/>
      <c r="V21" s="16"/>
    </row>
    <row r="22" spans="1:22" ht="44.4" customHeight="1" x14ac:dyDescent="0.25">
      <c r="A22" s="2"/>
      <c r="B22" s="9">
        <v>0.85</v>
      </c>
      <c r="C22" s="9">
        <v>450</v>
      </c>
      <c r="D22" s="10" t="s">
        <v>29</v>
      </c>
      <c r="E22" s="7" t="s">
        <v>18</v>
      </c>
      <c r="F22" s="15"/>
      <c r="G22" s="16"/>
      <c r="H22" s="15"/>
      <c r="R22" s="16"/>
      <c r="S22" s="16"/>
      <c r="T22" s="4"/>
      <c r="U22" s="16"/>
      <c r="V22" s="16"/>
    </row>
    <row r="23" spans="1:22" ht="44.4" customHeight="1" x14ac:dyDescent="0.25">
      <c r="A23" s="2"/>
      <c r="B23" s="9">
        <v>0.85</v>
      </c>
      <c r="C23" s="9">
        <v>450</v>
      </c>
      <c r="D23" s="10" t="s">
        <v>29</v>
      </c>
      <c r="E23" s="7" t="s">
        <v>19</v>
      </c>
      <c r="F23" s="15"/>
      <c r="G23" s="16"/>
      <c r="H23" s="15"/>
      <c r="R23" s="16"/>
      <c r="S23" s="16"/>
      <c r="T23" s="4"/>
      <c r="U23" s="16"/>
      <c r="V23" s="16"/>
    </row>
    <row r="24" spans="1:22" ht="44.4" customHeight="1" x14ac:dyDescent="0.25">
      <c r="A24" s="2"/>
      <c r="B24" s="9">
        <v>0.85</v>
      </c>
      <c r="C24" s="9">
        <v>450</v>
      </c>
      <c r="D24" s="10" t="s">
        <v>29</v>
      </c>
      <c r="E24" s="7" t="s">
        <v>20</v>
      </c>
      <c r="F24" s="15"/>
      <c r="G24" s="16"/>
      <c r="H24" s="15"/>
      <c r="R24" s="16"/>
      <c r="S24" s="16"/>
      <c r="T24" s="4"/>
      <c r="U24" s="16"/>
      <c r="V24" s="16"/>
    </row>
    <row r="25" spans="1:22" ht="44.4" customHeight="1" x14ac:dyDescent="0.25">
      <c r="A25" s="2"/>
      <c r="B25" s="10" t="s">
        <v>53</v>
      </c>
      <c r="C25" s="10" t="s">
        <v>53</v>
      </c>
      <c r="D25" s="10" t="s">
        <v>53</v>
      </c>
      <c r="E25" s="7" t="s">
        <v>21</v>
      </c>
      <c r="F25" s="15"/>
      <c r="G25" s="16"/>
      <c r="H25" s="15"/>
      <c r="R25" s="16"/>
      <c r="S25" s="16"/>
      <c r="T25" s="4"/>
      <c r="U25" s="15"/>
      <c r="V25" s="15"/>
    </row>
    <row r="26" spans="1:22" ht="44.4" customHeight="1" x14ac:dyDescent="0.25">
      <c r="A26" s="2"/>
      <c r="B26" s="9">
        <v>0.8</v>
      </c>
      <c r="C26" s="9">
        <v>100</v>
      </c>
      <c r="D26" s="10" t="s">
        <v>30</v>
      </c>
      <c r="E26" s="8" t="s">
        <v>22</v>
      </c>
      <c r="F26" s="15"/>
      <c r="G26" s="16"/>
      <c r="H26" s="15"/>
      <c r="R26" s="16"/>
      <c r="S26" s="16"/>
      <c r="T26" s="4"/>
      <c r="U26" s="15"/>
      <c r="V26" s="15"/>
    </row>
    <row r="27" spans="1:22" ht="44.4" customHeight="1" x14ac:dyDescent="0.25">
      <c r="A27" s="2"/>
      <c r="B27" s="9">
        <v>0.85</v>
      </c>
      <c r="C27" s="9">
        <v>450</v>
      </c>
      <c r="D27" s="10" t="s">
        <v>29</v>
      </c>
      <c r="E27" s="8" t="s">
        <v>23</v>
      </c>
      <c r="F27" s="15"/>
      <c r="G27" s="16"/>
      <c r="H27" s="15"/>
      <c r="R27" s="16"/>
      <c r="S27" s="16"/>
      <c r="T27" s="4"/>
      <c r="U27" s="15"/>
      <c r="V27" s="15"/>
    </row>
    <row r="28" spans="1:22" ht="44.4" customHeight="1" x14ac:dyDescent="0.25">
      <c r="A28" s="2"/>
      <c r="B28" s="9">
        <v>0.85</v>
      </c>
      <c r="C28" s="9">
        <v>450</v>
      </c>
      <c r="D28" s="10" t="s">
        <v>29</v>
      </c>
      <c r="E28" s="8" t="s">
        <v>24</v>
      </c>
      <c r="F28" s="15"/>
      <c r="G28" s="16"/>
      <c r="H28" s="15"/>
      <c r="R28" s="16"/>
      <c r="S28" s="16"/>
      <c r="T28" s="4"/>
      <c r="U28" s="15"/>
      <c r="V28" s="15"/>
    </row>
    <row r="29" spans="1:22" ht="44.4" customHeight="1" x14ac:dyDescent="0.25">
      <c r="A29" s="2"/>
      <c r="B29" s="10" t="s">
        <v>53</v>
      </c>
      <c r="C29" s="10" t="s">
        <v>53</v>
      </c>
      <c r="D29" s="10" t="s">
        <v>53</v>
      </c>
      <c r="E29" s="8" t="s">
        <v>25</v>
      </c>
      <c r="F29" s="15"/>
      <c r="G29" s="15"/>
      <c r="H29" s="15"/>
      <c r="R29" s="16"/>
      <c r="S29" s="16"/>
      <c r="T29" s="4"/>
    </row>
    <row r="30" spans="1:22" x14ac:dyDescent="0.25">
      <c r="A30" s="2"/>
    </row>
    <row r="31" spans="1:22" x14ac:dyDescent="0.25">
      <c r="A31" s="2"/>
    </row>
    <row r="32" spans="1:22" x14ac:dyDescent="0.25">
      <c r="A32" s="2"/>
    </row>
    <row r="33" spans="1:3" x14ac:dyDescent="0.25">
      <c r="A33" s="2"/>
    </row>
    <row r="34" spans="1:3" x14ac:dyDescent="0.25">
      <c r="A34" s="2"/>
      <c r="B34" s="9" t="s">
        <v>47</v>
      </c>
      <c r="C34" s="9" t="s">
        <v>54</v>
      </c>
    </row>
    <row r="35" spans="1:3" x14ac:dyDescent="0.25">
      <c r="A35" s="2"/>
      <c r="B35" s="9" t="s">
        <v>53</v>
      </c>
      <c r="C35" s="9" t="s">
        <v>53</v>
      </c>
    </row>
    <row r="36" spans="1:3" x14ac:dyDescent="0.25">
      <c r="A36" s="2"/>
      <c r="B36" s="9" t="s">
        <v>48</v>
      </c>
      <c r="C36" s="9">
        <v>2000</v>
      </c>
    </row>
    <row r="37" spans="1:3" x14ac:dyDescent="0.25">
      <c r="A37" s="2"/>
      <c r="B37" s="9" t="s">
        <v>49</v>
      </c>
      <c r="C37" s="9">
        <v>2500</v>
      </c>
    </row>
    <row r="38" spans="1:3" x14ac:dyDescent="0.25">
      <c r="A38" s="2"/>
      <c r="B38" s="9" t="s">
        <v>46</v>
      </c>
      <c r="C38" s="9">
        <v>50</v>
      </c>
    </row>
    <row r="39" spans="1:3" x14ac:dyDescent="0.25">
      <c r="A39" s="2"/>
      <c r="B39" s="9" t="s">
        <v>49</v>
      </c>
      <c r="C39" s="9">
        <v>2500</v>
      </c>
    </row>
    <row r="40" spans="1:3" x14ac:dyDescent="0.25">
      <c r="A40" s="2"/>
      <c r="B40" s="9" t="s">
        <v>48</v>
      </c>
      <c r="C40" s="9">
        <v>2000</v>
      </c>
    </row>
    <row r="41" spans="1:3" x14ac:dyDescent="0.25">
      <c r="A41" s="2"/>
      <c r="B41" s="9" t="s">
        <v>45</v>
      </c>
      <c r="C41" s="9">
        <v>150</v>
      </c>
    </row>
    <row r="42" spans="1:3" x14ac:dyDescent="0.25">
      <c r="A42" s="2"/>
      <c r="B42" s="9" t="s">
        <v>52</v>
      </c>
      <c r="C42" s="9">
        <v>3500</v>
      </c>
    </row>
    <row r="43" spans="1:3" x14ac:dyDescent="0.25">
      <c r="A43" s="2"/>
      <c r="B43" s="9" t="s">
        <v>50</v>
      </c>
      <c r="C43" s="9">
        <v>5000</v>
      </c>
    </row>
    <row r="44" spans="1:3" x14ac:dyDescent="0.25">
      <c r="A44" s="2"/>
      <c r="B44" s="9" t="s">
        <v>49</v>
      </c>
      <c r="C44" s="9">
        <v>2500</v>
      </c>
    </row>
    <row r="45" spans="1:3" x14ac:dyDescent="0.25">
      <c r="B45" s="9" t="s">
        <v>46</v>
      </c>
      <c r="C45" s="9">
        <v>50</v>
      </c>
    </row>
    <row r="46" spans="1:3" x14ac:dyDescent="0.25">
      <c r="B46" s="9" t="s">
        <v>46</v>
      </c>
      <c r="C46" s="9">
        <v>50</v>
      </c>
    </row>
    <row r="47" spans="1:3" x14ac:dyDescent="0.25">
      <c r="B47" s="9" t="s">
        <v>45</v>
      </c>
      <c r="C47" s="9">
        <v>100</v>
      </c>
    </row>
    <row r="48" spans="1:3" x14ac:dyDescent="0.25">
      <c r="B48" s="9" t="s">
        <v>51</v>
      </c>
      <c r="C48" s="9">
        <v>1000</v>
      </c>
    </row>
    <row r="49" spans="2:3" x14ac:dyDescent="0.25">
      <c r="B49" s="10" t="s">
        <v>53</v>
      </c>
      <c r="C49" s="9" t="s">
        <v>46</v>
      </c>
    </row>
    <row r="50" spans="2:3" x14ac:dyDescent="0.25">
      <c r="B50" s="10" t="s">
        <v>53</v>
      </c>
      <c r="C50" s="10" t="s">
        <v>53</v>
      </c>
    </row>
    <row r="51" spans="2:3" x14ac:dyDescent="0.25">
      <c r="B51" s="10" t="s">
        <v>53</v>
      </c>
      <c r="C51" s="10" t="s">
        <v>53</v>
      </c>
    </row>
    <row r="52" spans="2:3" x14ac:dyDescent="0.25">
      <c r="B52" s="9" t="s">
        <v>52</v>
      </c>
      <c r="C52" s="9">
        <v>3500</v>
      </c>
    </row>
    <row r="53" spans="2:3" x14ac:dyDescent="0.25">
      <c r="B53" s="9" t="s">
        <v>49</v>
      </c>
      <c r="C53" s="9">
        <v>2500</v>
      </c>
    </row>
    <row r="54" spans="2:3" x14ac:dyDescent="0.25">
      <c r="B54" s="9" t="s">
        <v>52</v>
      </c>
      <c r="C54" s="9">
        <v>3500</v>
      </c>
    </row>
    <row r="55" spans="2:3" x14ac:dyDescent="0.25">
      <c r="B55" s="9" t="s">
        <v>45</v>
      </c>
      <c r="C55" s="9">
        <v>100</v>
      </c>
    </row>
    <row r="56" spans="2:3" x14ac:dyDescent="0.25">
      <c r="B56" s="9" t="s">
        <v>53</v>
      </c>
      <c r="C56" s="9" t="s">
        <v>53</v>
      </c>
    </row>
    <row r="57" spans="2:3" x14ac:dyDescent="0.25">
      <c r="B57" s="9" t="s">
        <v>52</v>
      </c>
      <c r="C57" s="9">
        <v>3500</v>
      </c>
    </row>
    <row r="58" spans="2:3" x14ac:dyDescent="0.25">
      <c r="B58" s="9" t="s">
        <v>49</v>
      </c>
      <c r="C58" s="9">
        <v>2500</v>
      </c>
    </row>
    <row r="59" spans="2:3" x14ac:dyDescent="0.25">
      <c r="B59" s="9" t="s">
        <v>52</v>
      </c>
      <c r="C59" s="9">
        <v>2000</v>
      </c>
    </row>
    <row r="60" spans="2:3" x14ac:dyDescent="0.25">
      <c r="B60" s="9" t="s">
        <v>53</v>
      </c>
      <c r="C60" s="9" t="s">
        <v>53</v>
      </c>
    </row>
  </sheetData>
  <mergeCells count="4">
    <mergeCell ref="V2:AB2"/>
    <mergeCell ref="L2:T2"/>
    <mergeCell ref="H2:J2"/>
    <mergeCell ref="B2:E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2025-07-20T11:54:31Z</dcterms:modified>
</cp:coreProperties>
</file>