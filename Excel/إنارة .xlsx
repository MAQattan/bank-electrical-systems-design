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1.Mine\projects\مشروع البنك\Excel\"/>
    </mc:Choice>
  </mc:AlternateContent>
  <xr:revisionPtr revIDLastSave="0" documentId="13_ncr:1_{682DA034-86BB-4D9D-812A-BA6B1BC59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W6" i="1"/>
  <c r="W5" i="1"/>
  <c r="W4" i="1"/>
  <c r="P34" i="1"/>
  <c r="Q34" i="1" s="1"/>
  <c r="R34" i="1" s="1"/>
  <c r="P33" i="1"/>
  <c r="Q33" i="1" s="1"/>
  <c r="R33" i="1" s="1"/>
  <c r="P4" i="1"/>
  <c r="Q4" i="1" s="1"/>
  <c r="R4" i="1" s="1"/>
  <c r="P6" i="1"/>
  <c r="Q6" i="1" s="1"/>
  <c r="R6" i="1" s="1"/>
  <c r="P7" i="1"/>
  <c r="Q7" i="1" s="1"/>
  <c r="R7" i="1" s="1"/>
  <c r="P8" i="1"/>
  <c r="Q8" i="1" s="1"/>
  <c r="R8" i="1" s="1"/>
  <c r="P9" i="1"/>
  <c r="Q9" i="1" s="1"/>
  <c r="R9" i="1" s="1"/>
  <c r="P10" i="1"/>
  <c r="Q10" i="1" s="1"/>
  <c r="R10" i="1" s="1"/>
  <c r="P11" i="1"/>
  <c r="Q11" i="1" s="1"/>
  <c r="R11" i="1" s="1"/>
  <c r="P12" i="1"/>
  <c r="Q12" i="1" s="1"/>
  <c r="R12" i="1" s="1"/>
  <c r="P13" i="1"/>
  <c r="Q13" i="1" s="1"/>
  <c r="R13" i="1" s="1"/>
  <c r="P14" i="1"/>
  <c r="Q14" i="1" s="1"/>
  <c r="R14" i="1" s="1"/>
  <c r="P15" i="1"/>
  <c r="Q15" i="1" s="1"/>
  <c r="R15" i="1" s="1"/>
  <c r="P16" i="1"/>
  <c r="Q16" i="1" s="1"/>
  <c r="R16" i="1" s="1"/>
  <c r="P17" i="1"/>
  <c r="Q17" i="1" s="1"/>
  <c r="R17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Q23" i="1" s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29" i="1"/>
  <c r="Q29" i="1" s="1"/>
  <c r="R29" i="1" s="1"/>
  <c r="P5" i="1"/>
  <c r="Q5" i="1" s="1"/>
  <c r="AA7" i="1" l="1"/>
  <c r="AB7" i="1" s="1"/>
  <c r="AA5" i="1"/>
  <c r="AB5" i="1" s="1"/>
  <c r="AA6" i="1"/>
  <c r="AB6" i="1" s="1"/>
  <c r="R5" i="1"/>
  <c r="AA4" i="1" s="1"/>
  <c r="AB4" i="1" s="1"/>
</calcChain>
</file>

<file path=xl/sharedStrings.xml><?xml version="1.0" encoding="utf-8"?>
<sst xmlns="http://schemas.openxmlformats.org/spreadsheetml/2006/main" count="185" uniqueCount="100">
  <si>
    <t>Guard</t>
  </si>
  <si>
    <t xml:space="preserve">waiting </t>
  </si>
  <si>
    <t>ATM</t>
  </si>
  <si>
    <t>Vault Room</t>
  </si>
  <si>
    <t xml:space="preserve">Filling office </t>
  </si>
  <si>
    <t>M.WC</t>
  </si>
  <si>
    <t>F.WC</t>
  </si>
  <si>
    <t xml:space="preserve">Janitor </t>
  </si>
  <si>
    <t>Mec.room</t>
  </si>
  <si>
    <t>Storage</t>
  </si>
  <si>
    <t xml:space="preserve">Staff ent controle </t>
  </si>
  <si>
    <t>First floor corridors</t>
  </si>
  <si>
    <t>Negotiation office</t>
  </si>
  <si>
    <t xml:space="preserve">Clerk office </t>
  </si>
  <si>
    <t>Credit office</t>
  </si>
  <si>
    <t xml:space="preserve">Second floor corridors </t>
  </si>
  <si>
    <t xml:space="preserve">Meeting room </t>
  </si>
  <si>
    <t>Secretary room</t>
  </si>
  <si>
    <t xml:space="preserve">Manager room </t>
  </si>
  <si>
    <t>Cash counters</t>
  </si>
  <si>
    <t>Support office</t>
  </si>
  <si>
    <t>Custmers service</t>
  </si>
  <si>
    <t>Guard room</t>
  </si>
  <si>
    <t>Lighting Type</t>
  </si>
  <si>
    <t>Fixture Type</t>
  </si>
  <si>
    <t>LED Bulb E27</t>
  </si>
  <si>
    <t>لمبة لولبية عادية</t>
  </si>
  <si>
    <t>LED Panel 60x60</t>
  </si>
  <si>
    <t>لوح سقفي</t>
  </si>
  <si>
    <t>LED Downlight</t>
  </si>
  <si>
    <t>سبوت سقفي</t>
  </si>
  <si>
    <t>LED Panel 30x60</t>
  </si>
  <si>
    <t>لوح سقفي صغير</t>
  </si>
  <si>
    <t>LED Waterproof Fixture</t>
  </si>
  <si>
    <t>أنبوب مغلق</t>
  </si>
  <si>
    <t>LED Bulkhead</t>
  </si>
  <si>
    <t>مقاوم للرطوبة</t>
  </si>
  <si>
    <t>لمبة عادية</t>
  </si>
  <si>
    <t>LED Tube T8</t>
  </si>
  <si>
    <t>أنبوب فلوري</t>
  </si>
  <si>
    <t>نجفة LED</t>
  </si>
  <si>
    <r>
      <t>Q</t>
    </r>
    <r>
      <rPr>
        <b/>
        <vertAlign val="subscript"/>
        <sz val="11"/>
        <color theme="1"/>
        <rFont val="Arial"/>
        <family val="2"/>
        <scheme val="minor"/>
      </rPr>
      <t>total</t>
    </r>
    <r>
      <rPr>
        <b/>
        <sz val="11"/>
        <color theme="1"/>
        <rFont val="Arial"/>
        <family val="2"/>
        <scheme val="minor"/>
      </rPr>
      <t xml:space="preserve"> (lm)</t>
    </r>
  </si>
  <si>
    <t xml:space="preserve">Third floor corridors </t>
  </si>
  <si>
    <t>2*18</t>
  </si>
  <si>
    <t>Room</t>
  </si>
  <si>
    <r>
      <t>Area [m</t>
    </r>
    <r>
      <rPr>
        <b/>
        <vertAlign val="superscript"/>
        <sz val="11"/>
        <color theme="1"/>
        <rFont val="Arial"/>
        <family val="2"/>
        <scheme val="minor"/>
      </rPr>
      <t>2</t>
    </r>
    <r>
      <rPr>
        <b/>
        <sz val="11"/>
        <color theme="1"/>
        <rFont val="Arial"/>
        <family val="2"/>
        <scheme val="minor"/>
      </rPr>
      <t>]</t>
    </r>
  </si>
  <si>
    <r>
      <t>E [lm/m</t>
    </r>
    <r>
      <rPr>
        <b/>
        <vertAlign val="superscript"/>
        <sz val="11"/>
        <color theme="1"/>
        <rFont val="Arial"/>
        <family val="2"/>
        <scheme val="minor"/>
      </rPr>
      <t>2</t>
    </r>
    <r>
      <rPr>
        <b/>
        <sz val="11"/>
        <color theme="1"/>
        <rFont val="Arial"/>
        <family val="2"/>
        <scheme val="minor"/>
      </rPr>
      <t>]</t>
    </r>
  </si>
  <si>
    <t xml:space="preserve">التفريعة </t>
  </si>
  <si>
    <t>استطاعتها</t>
  </si>
  <si>
    <t xml:space="preserve">مسارها </t>
  </si>
  <si>
    <t xml:space="preserve">مغذاة من </t>
  </si>
  <si>
    <t>SDB-1</t>
  </si>
  <si>
    <t>SDB-2</t>
  </si>
  <si>
    <t>SDB-3</t>
  </si>
  <si>
    <t xml:space="preserve">Room </t>
  </si>
  <si>
    <r>
      <t>E [Lm/m</t>
    </r>
    <r>
      <rPr>
        <b/>
        <vertAlign val="superscript"/>
        <sz val="11"/>
        <color theme="1"/>
        <rFont val="Arial"/>
        <family val="2"/>
        <scheme val="minor"/>
      </rPr>
      <t>2</t>
    </r>
    <r>
      <rPr>
        <b/>
        <sz val="11"/>
        <color theme="1"/>
        <rFont val="Arial"/>
        <family val="2"/>
        <scheme val="minor"/>
      </rPr>
      <t>]</t>
    </r>
  </si>
  <si>
    <t>The back side</t>
  </si>
  <si>
    <t>The front side</t>
  </si>
  <si>
    <t xml:space="preserve">LED Flood Light </t>
  </si>
  <si>
    <t xml:space="preserve">كشاف خارجي </t>
  </si>
  <si>
    <t>PF</t>
  </si>
  <si>
    <t xml:space="preserve">حسابات الإنارة الخارجية </t>
  </si>
  <si>
    <t xml:space="preserve">Entrance </t>
  </si>
  <si>
    <t xml:space="preserve">Auditing </t>
  </si>
  <si>
    <t>حسابات الإنارة الداخلية للبنك</t>
  </si>
  <si>
    <t>Height [m]</t>
  </si>
  <si>
    <t xml:space="preserve">المواصفات الإنشائية </t>
  </si>
  <si>
    <r>
      <t>P</t>
    </r>
    <r>
      <rPr>
        <b/>
        <vertAlign val="subscript"/>
        <sz val="11"/>
        <color theme="1"/>
        <rFont val="Arial"/>
        <family val="2"/>
        <scheme val="minor"/>
      </rPr>
      <t>lamp</t>
    </r>
    <r>
      <rPr>
        <b/>
        <sz val="11"/>
        <color theme="1"/>
        <rFont val="Arial"/>
        <family val="2"/>
        <scheme val="minor"/>
      </rPr>
      <t xml:space="preserve"> [W]</t>
    </r>
  </si>
  <si>
    <t xml:space="preserve"> N</t>
  </si>
  <si>
    <t>N</t>
  </si>
  <si>
    <r>
      <t>P</t>
    </r>
    <r>
      <rPr>
        <b/>
        <vertAlign val="subscript"/>
        <sz val="11"/>
        <color theme="1"/>
        <rFont val="Arial"/>
        <family val="2"/>
        <scheme val="minor"/>
      </rPr>
      <t>total</t>
    </r>
    <r>
      <rPr>
        <b/>
        <sz val="11"/>
        <color theme="1"/>
        <rFont val="Arial"/>
        <family val="2"/>
        <scheme val="minor"/>
      </rPr>
      <t xml:space="preserve"> [W]</t>
    </r>
  </si>
  <si>
    <r>
      <t>Q</t>
    </r>
    <r>
      <rPr>
        <b/>
        <vertAlign val="subscript"/>
        <sz val="11"/>
        <color theme="1"/>
        <rFont val="Arial"/>
        <family val="2"/>
        <scheme val="minor"/>
      </rPr>
      <t>Lamp</t>
    </r>
    <r>
      <rPr>
        <b/>
        <sz val="11"/>
        <color theme="1"/>
        <rFont val="Arial"/>
        <family val="2"/>
        <scheme val="minor"/>
      </rPr>
      <t xml:space="preserve"> (lm)</t>
    </r>
  </si>
  <si>
    <t>كامل الطابق الأول</t>
  </si>
  <si>
    <t xml:space="preserve">كامل الطابق الثاني </t>
  </si>
  <si>
    <t>كامل الطابق الثالث</t>
  </si>
  <si>
    <t>كامل الإنارة الخارجية</t>
  </si>
  <si>
    <t xml:space="preserve"> UF</t>
  </si>
  <si>
    <t xml:space="preserve"> MF  </t>
  </si>
  <si>
    <t>p1</t>
  </si>
  <si>
    <t>p2</t>
  </si>
  <si>
    <t>p3</t>
  </si>
  <si>
    <t>p4</t>
  </si>
  <si>
    <t>التماسات</t>
  </si>
  <si>
    <t>1p</t>
  </si>
  <si>
    <t>5.475 &lt; 10 &lt; 23</t>
  </si>
  <si>
    <t>5 &lt; 10 &lt; 23</t>
  </si>
  <si>
    <t>4.506 &lt; 10 &lt; 23</t>
  </si>
  <si>
    <t>7.576 &lt; 10 &lt; 23</t>
  </si>
  <si>
    <t>جدول مواصفات قواطع تفريعات الإنارة</t>
  </si>
  <si>
    <t xml:space="preserve">جدول حسابات تفريعات الإنارة </t>
  </si>
  <si>
    <t>cosθ</t>
  </si>
  <si>
    <r>
      <t>I</t>
    </r>
    <r>
      <rPr>
        <b/>
        <vertAlign val="subscript"/>
        <sz val="11"/>
        <color theme="1"/>
        <rFont val="Times New Roman"/>
        <family val="1"/>
        <scheme val="major"/>
      </rPr>
      <t>N</t>
    </r>
    <r>
      <rPr>
        <b/>
        <sz val="11"/>
        <color theme="1"/>
        <rFont val="Times New Roman"/>
        <family val="1"/>
        <scheme val="major"/>
      </rPr>
      <t xml:space="preserve"> [A]</t>
    </r>
  </si>
  <si>
    <r>
      <t>A [mm</t>
    </r>
    <r>
      <rPr>
        <b/>
        <vertAlign val="superscript"/>
        <sz val="11"/>
        <color theme="1"/>
        <rFont val="Times New Roman"/>
        <family val="1"/>
        <scheme val="major"/>
      </rPr>
      <t>2</t>
    </r>
    <r>
      <rPr>
        <b/>
        <sz val="11"/>
        <color theme="1"/>
        <rFont val="Times New Roman"/>
        <family val="1"/>
        <scheme val="major"/>
      </rPr>
      <t>]</t>
    </r>
  </si>
  <si>
    <r>
      <t>I</t>
    </r>
    <r>
      <rPr>
        <b/>
        <vertAlign val="subscript"/>
        <sz val="11"/>
        <color theme="1"/>
        <rFont val="Times New Roman"/>
        <family val="1"/>
        <scheme val="major"/>
      </rPr>
      <t>L</t>
    </r>
    <r>
      <rPr>
        <b/>
        <sz val="11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</si>
  <si>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1"/>
        <color theme="1"/>
        <rFont val="Times New Roman"/>
        <family val="1"/>
        <scheme val="major"/>
      </rPr>
      <t>cut</t>
    </r>
    <r>
      <rPr>
        <b/>
        <sz val="11"/>
        <color theme="1"/>
        <rFont val="Times New Roman"/>
        <family val="1"/>
        <scheme val="major"/>
      </rPr>
      <t xml:space="preserve"> [KA]</t>
    </r>
  </si>
  <si>
    <r>
      <t>I</t>
    </r>
    <r>
      <rPr>
        <b/>
        <vertAlign val="subscript"/>
        <sz val="11"/>
        <color theme="1"/>
        <rFont val="Times New Roman"/>
        <family val="1"/>
        <scheme val="major"/>
      </rPr>
      <t xml:space="preserve">L </t>
    </r>
    <r>
      <rPr>
        <b/>
        <sz val="11"/>
        <color theme="1"/>
        <rFont val="Times New Roman"/>
        <family val="1"/>
        <scheme val="major"/>
      </rPr>
      <t>&lt; I</t>
    </r>
    <r>
      <rPr>
        <b/>
        <vertAlign val="subscript"/>
        <sz val="11"/>
        <color theme="1"/>
        <rFont val="Times New Roman"/>
        <family val="1"/>
        <scheme val="major"/>
      </rPr>
      <t xml:space="preserve">NCB </t>
    </r>
    <r>
      <rPr>
        <b/>
        <sz val="11"/>
        <color theme="1"/>
        <rFont val="Times New Roman"/>
        <family val="1"/>
        <scheme val="major"/>
      </rPr>
      <t>&lt; I</t>
    </r>
    <r>
      <rPr>
        <b/>
        <vertAlign val="subscript"/>
        <sz val="11"/>
        <color theme="1"/>
        <rFont val="Times New Roman"/>
        <family val="1"/>
        <scheme val="major"/>
      </rPr>
      <t>z</t>
    </r>
  </si>
  <si>
    <r>
      <t>I</t>
    </r>
    <r>
      <rPr>
        <b/>
        <vertAlign val="subscript"/>
        <sz val="11"/>
        <color theme="1"/>
        <rFont val="Times New Roman"/>
        <family val="1"/>
        <scheme val="major"/>
      </rPr>
      <t>m</t>
    </r>
    <r>
      <rPr>
        <b/>
        <sz val="11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</si>
  <si>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1"/>
        <color theme="1"/>
        <rFont val="Times New Roman"/>
        <family val="1"/>
        <scheme val="major"/>
      </rPr>
      <t>r</t>
    </r>
    <r>
      <rPr>
        <b/>
        <sz val="11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</si>
  <si>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1"/>
        <color theme="1"/>
        <rFont val="Times New Roman"/>
        <family val="1"/>
        <scheme val="major"/>
      </rPr>
      <t>NCB</t>
    </r>
    <r>
      <rPr>
        <b/>
        <sz val="11"/>
        <color theme="1"/>
        <rFont val="Times New Roman"/>
        <family val="1"/>
        <scheme val="major"/>
      </rPr>
      <t xml:space="preserve"> [A]</t>
    </r>
  </si>
  <si>
    <t>∆U%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</si>
</sst>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vertAlign val="subscript"/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vertAlign val="superscript"/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0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vertAlign val="subscript"/>
      <sz val="11"/>
      <color theme="1"/>
      <name val="Times New Roman"/>
      <family val="1"/>
      <scheme val="major"/>
    </font>
    <font>
      <b/>
      <vertAlign val="superscript"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/>
      <top/>
      <bottom style="thick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N424"/>
  <sheetViews>
    <sheetView tabSelected="1" topLeftCell="L1" zoomScaleNormal="100" workbookViewId="0">
      <selection activeCell="AC7" sqref="AC7"/>
    </sheetView>
  </sheetViews>
  <sheetFormatPr defaultRowHeight="13.8" x14ac:dyDescent="0.25"/>
  <cols>
    <col min="2" max="2" width="22" bestFit="1" customWidth="1"/>
    <col min="3" max="3" width="9.19921875" style="1" bestFit="1" customWidth="1"/>
    <col min="4" max="4" width="9.296875" style="1" bestFit="1" customWidth="1"/>
    <col min="5" max="5" width="13.3984375" style="2" bestFit="1" customWidth="1"/>
    <col min="6" max="6" width="22" style="2" bestFit="1" customWidth="1"/>
    <col min="7" max="7" width="9.19921875" style="2" bestFit="1" customWidth="1"/>
    <col min="8" max="8" width="9.59765625" bestFit="1" customWidth="1"/>
    <col min="9" max="9" width="5.296875" style="7" bestFit="1" customWidth="1"/>
    <col min="10" max="11" width="4.19921875" bestFit="1" customWidth="1"/>
    <col min="12" max="12" width="20.69921875" style="2" bestFit="1" customWidth="1"/>
    <col min="13" max="13" width="8.8984375" style="2" bestFit="1" customWidth="1"/>
    <col min="14" max="14" width="9.8984375" style="2" bestFit="1" customWidth="1"/>
    <col min="15" max="15" width="12.19921875" style="2" bestFit="1" customWidth="1"/>
    <col min="16" max="16" width="9" style="2" bestFit="1" customWidth="1"/>
    <col min="17" max="17" width="3.19921875" style="2" bestFit="1" customWidth="1"/>
    <col min="18" max="18" width="8.59765625" style="2" bestFit="1" customWidth="1"/>
    <col min="19" max="19" width="9.5" style="2" bestFit="1" customWidth="1"/>
    <col min="20" max="20" width="5" style="2" bestFit="1" customWidth="1"/>
    <col min="21" max="21" width="4.8984375" style="2" bestFit="1" customWidth="1"/>
    <col min="22" max="22" width="7.5" style="2" bestFit="1" customWidth="1"/>
    <col min="23" max="23" width="6.3984375" customWidth="1"/>
    <col min="24" max="24" width="5.8984375" customWidth="1"/>
    <col min="25" max="25" width="6.09765625" customWidth="1"/>
    <col min="26" max="26" width="8" customWidth="1"/>
    <col min="27" max="27" width="6.8984375" bestFit="1" customWidth="1"/>
    <col min="28" max="28" width="6" bestFit="1" customWidth="1"/>
    <col min="29" max="29" width="6.69921875" bestFit="1" customWidth="1"/>
    <col min="30" max="30" width="13.8984375" bestFit="1" customWidth="1"/>
    <col min="31" max="31" width="6" bestFit="1" customWidth="1"/>
    <col min="32" max="32" width="12" bestFit="1" customWidth="1"/>
    <col min="33" max="33" width="9.5" customWidth="1"/>
    <col min="34" max="34" width="15.19921875" customWidth="1"/>
    <col min="35" max="35" width="5.19921875" bestFit="1" customWidth="1"/>
    <col min="36" max="36" width="4.8984375" bestFit="1" customWidth="1"/>
    <col min="37" max="37" width="6.8984375" bestFit="1" customWidth="1"/>
    <col min="38" max="39" width="6" bestFit="1" customWidth="1"/>
  </cols>
  <sheetData>
    <row r="1" spans="2:42" s="3" customFormat="1" ht="24" customHeight="1" thickBot="1" x14ac:dyDescent="0.3">
      <c r="B1"/>
      <c r="C1" s="1"/>
      <c r="D1" s="1"/>
      <c r="E1" s="2"/>
      <c r="F1" s="2"/>
      <c r="G1" s="2"/>
      <c r="H1" s="2"/>
      <c r="I1" s="7"/>
      <c r="J1"/>
      <c r="K1"/>
      <c r="L1"/>
      <c r="M1" s="2"/>
      <c r="N1" s="2"/>
      <c r="P1"/>
      <c r="Q1"/>
      <c r="R1"/>
      <c r="S1"/>
      <c r="T1"/>
      <c r="U1"/>
      <c r="V1"/>
    </row>
    <row r="2" spans="2:42" ht="25.2" thickBot="1" x14ac:dyDescent="0.3">
      <c r="B2" s="43" t="s">
        <v>66</v>
      </c>
      <c r="C2" s="43"/>
      <c r="D2" s="43"/>
      <c r="F2" s="38" t="s">
        <v>64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40"/>
      <c r="T2"/>
      <c r="U2"/>
      <c r="V2"/>
      <c r="W2" s="44" t="s">
        <v>89</v>
      </c>
      <c r="X2" s="44"/>
      <c r="Y2" s="44"/>
      <c r="Z2" s="44"/>
      <c r="AA2" s="44"/>
      <c r="AB2" s="44"/>
      <c r="AC2" s="44"/>
      <c r="AD2" s="44"/>
      <c r="AE2" s="44"/>
      <c r="AG2" s="37" t="s">
        <v>88</v>
      </c>
      <c r="AH2" s="37"/>
      <c r="AI2" s="37"/>
      <c r="AJ2" s="37"/>
      <c r="AK2" s="37"/>
      <c r="AL2" s="37"/>
      <c r="AM2" s="37"/>
    </row>
    <row r="3" spans="2:42" ht="18" thickTop="1" thickBot="1" x14ac:dyDescent="0.3">
      <c r="B3" s="13" t="s">
        <v>44</v>
      </c>
      <c r="C3" s="31" t="s">
        <v>45</v>
      </c>
      <c r="D3" s="32" t="s">
        <v>65</v>
      </c>
      <c r="F3" s="13" t="s">
        <v>44</v>
      </c>
      <c r="G3" s="26" t="s">
        <v>45</v>
      </c>
      <c r="H3" s="27" t="s">
        <v>46</v>
      </c>
      <c r="I3" s="27" t="s">
        <v>77</v>
      </c>
      <c r="J3" s="27" t="s">
        <v>76</v>
      </c>
      <c r="K3" s="28" t="s">
        <v>60</v>
      </c>
      <c r="L3" s="27" t="s">
        <v>23</v>
      </c>
      <c r="M3" s="27" t="s">
        <v>67</v>
      </c>
      <c r="N3" s="27" t="s">
        <v>71</v>
      </c>
      <c r="O3" s="27" t="s">
        <v>24</v>
      </c>
      <c r="P3" s="27" t="s">
        <v>41</v>
      </c>
      <c r="Q3" s="27" t="s">
        <v>68</v>
      </c>
      <c r="R3" s="14" t="s">
        <v>70</v>
      </c>
      <c r="T3"/>
      <c r="U3"/>
      <c r="V3"/>
      <c r="W3" s="36" t="s">
        <v>99</v>
      </c>
      <c r="X3" s="35" t="s">
        <v>90</v>
      </c>
      <c r="Y3" s="35" t="s">
        <v>91</v>
      </c>
      <c r="Z3" s="35" t="s">
        <v>92</v>
      </c>
      <c r="AA3" s="35" t="s">
        <v>48</v>
      </c>
      <c r="AB3" s="35" t="s">
        <v>93</v>
      </c>
      <c r="AC3" s="35" t="s">
        <v>50</v>
      </c>
      <c r="AD3" s="35" t="s">
        <v>49</v>
      </c>
      <c r="AE3" s="35" t="s">
        <v>47</v>
      </c>
      <c r="AG3" s="35" t="s">
        <v>94</v>
      </c>
      <c r="AH3" s="35" t="s">
        <v>95</v>
      </c>
      <c r="AI3" s="35" t="s">
        <v>96</v>
      </c>
      <c r="AJ3" s="35" t="s">
        <v>97</v>
      </c>
      <c r="AK3" s="35" t="s">
        <v>98</v>
      </c>
      <c r="AL3" s="35" t="s">
        <v>82</v>
      </c>
      <c r="AM3" s="35" t="s">
        <v>47</v>
      </c>
    </row>
    <row r="4" spans="2:42" ht="14.4" thickBot="1" x14ac:dyDescent="0.3">
      <c r="B4" s="19" t="s">
        <v>62</v>
      </c>
      <c r="C4" s="33">
        <v>10</v>
      </c>
      <c r="D4" s="12">
        <v>3</v>
      </c>
      <c r="F4" s="19" t="s">
        <v>62</v>
      </c>
      <c r="G4" s="22">
        <v>10</v>
      </c>
      <c r="H4" s="23">
        <v>200</v>
      </c>
      <c r="I4" s="12">
        <v>0.75</v>
      </c>
      <c r="J4" s="12">
        <v>0.8</v>
      </c>
      <c r="K4" s="12">
        <v>0.9</v>
      </c>
      <c r="L4" s="24" t="s">
        <v>29</v>
      </c>
      <c r="M4" s="12">
        <v>9</v>
      </c>
      <c r="N4" s="12">
        <v>900</v>
      </c>
      <c r="O4" s="25" t="s">
        <v>30</v>
      </c>
      <c r="P4" s="12">
        <f>ROUNDUP((G4*H4)/(J4*I4),0)</f>
        <v>3334</v>
      </c>
      <c r="Q4" s="12">
        <f>ROUNDUP(P4/N4,0)</f>
        <v>4</v>
      </c>
      <c r="R4" s="12">
        <f>M4*Q4</f>
        <v>36</v>
      </c>
      <c r="T4"/>
      <c r="U4"/>
      <c r="V4"/>
      <c r="W4" s="36">
        <f>((2*((0.0178*36)/Z4)*AB4*X4)/220)*100</f>
        <v>1.9136618181818186</v>
      </c>
      <c r="X4" s="36">
        <v>0.9</v>
      </c>
      <c r="Y4" s="36">
        <v>10</v>
      </c>
      <c r="Z4" s="36">
        <v>1.5</v>
      </c>
      <c r="AA4" s="36">
        <f>R4+R5+R6+R7+R8+R9+R10+R11+R12+R13+R14+R15+R16+R17+R18+R19+R20</f>
        <v>1084</v>
      </c>
      <c r="AB4" s="36">
        <f>ROUNDUP(AA4/(220*0.9),3)</f>
        <v>5.4750000000000005</v>
      </c>
      <c r="AC4" s="36" t="s">
        <v>51</v>
      </c>
      <c r="AD4" s="36" t="s">
        <v>72</v>
      </c>
      <c r="AE4" s="36" t="s">
        <v>78</v>
      </c>
      <c r="AG4" s="36">
        <v>3</v>
      </c>
      <c r="AH4" s="36" t="s">
        <v>84</v>
      </c>
      <c r="AI4" s="36">
        <v>100</v>
      </c>
      <c r="AJ4" s="36">
        <v>11.3</v>
      </c>
      <c r="AK4" s="36">
        <v>10</v>
      </c>
      <c r="AL4" s="36" t="s">
        <v>83</v>
      </c>
      <c r="AM4" s="36" t="s">
        <v>78</v>
      </c>
    </row>
    <row r="5" spans="2:42" ht="15" thickTop="1" thickBot="1" x14ac:dyDescent="0.3">
      <c r="B5" s="20" t="s">
        <v>22</v>
      </c>
      <c r="C5" s="34">
        <v>5</v>
      </c>
      <c r="D5" s="6">
        <v>4.8</v>
      </c>
      <c r="F5" s="20" t="s">
        <v>22</v>
      </c>
      <c r="G5" s="18">
        <v>5</v>
      </c>
      <c r="H5" s="16">
        <v>200</v>
      </c>
      <c r="I5" s="6">
        <v>0.9</v>
      </c>
      <c r="J5" s="6">
        <v>0.8</v>
      </c>
      <c r="K5" s="6">
        <v>0.9</v>
      </c>
      <c r="L5" s="17" t="s">
        <v>25</v>
      </c>
      <c r="M5" s="6">
        <v>10</v>
      </c>
      <c r="N5" s="6">
        <v>1000</v>
      </c>
      <c r="O5" s="4" t="s">
        <v>26</v>
      </c>
      <c r="P5" s="6">
        <f>ROUNDUP((G5*H5)/(J5*I5),0)</f>
        <v>1389</v>
      </c>
      <c r="Q5" s="6">
        <f>ROUNDUP(P5/N5,0)</f>
        <v>2</v>
      </c>
      <c r="R5" s="6">
        <f>M5*Q5</f>
        <v>20</v>
      </c>
      <c r="U5"/>
      <c r="V5"/>
      <c r="W5" s="36">
        <f>((2*((0.0178*38)/Z5)*AB5*X5)/220)*100</f>
        <v>1.8447272727272725</v>
      </c>
      <c r="X5" s="36">
        <v>0.9</v>
      </c>
      <c r="Y5" s="36">
        <v>10</v>
      </c>
      <c r="Z5" s="36">
        <v>1.5</v>
      </c>
      <c r="AA5" s="36">
        <f>R21+R22+R23+R24+R25</f>
        <v>990</v>
      </c>
      <c r="AB5" s="36">
        <f>ROUNDUP(AA5/(220*0.9),3)</f>
        <v>5</v>
      </c>
      <c r="AC5" s="36" t="s">
        <v>52</v>
      </c>
      <c r="AD5" s="36" t="s">
        <v>73</v>
      </c>
      <c r="AE5" s="36" t="s">
        <v>79</v>
      </c>
      <c r="AG5" s="36">
        <v>3</v>
      </c>
      <c r="AH5" s="36" t="s">
        <v>85</v>
      </c>
      <c r="AI5" s="36">
        <v>100</v>
      </c>
      <c r="AJ5" s="36">
        <v>11.3</v>
      </c>
      <c r="AK5" s="36">
        <v>10</v>
      </c>
      <c r="AL5" s="36" t="s">
        <v>83</v>
      </c>
      <c r="AM5" s="36" t="s">
        <v>79</v>
      </c>
    </row>
    <row r="6" spans="2:42" ht="15" thickTop="1" thickBot="1" x14ac:dyDescent="0.3">
      <c r="B6" s="20" t="s">
        <v>1</v>
      </c>
      <c r="C6" s="34">
        <v>14</v>
      </c>
      <c r="D6" s="6">
        <v>3</v>
      </c>
      <c r="F6" s="20" t="s">
        <v>1</v>
      </c>
      <c r="G6" s="18">
        <v>14</v>
      </c>
      <c r="H6" s="16">
        <v>200</v>
      </c>
      <c r="I6" s="6">
        <v>0.9</v>
      </c>
      <c r="J6" s="6">
        <v>0.8</v>
      </c>
      <c r="K6" s="6">
        <v>0.9</v>
      </c>
      <c r="L6" s="17" t="s">
        <v>27</v>
      </c>
      <c r="M6" s="6">
        <v>36</v>
      </c>
      <c r="N6" s="6">
        <v>3600</v>
      </c>
      <c r="O6" s="4" t="s">
        <v>28</v>
      </c>
      <c r="P6" s="6">
        <f t="shared" ref="P6:P29" si="0">ROUNDUP((G6*H6)/(J6*I6),0)</f>
        <v>3889</v>
      </c>
      <c r="Q6" s="6">
        <f t="shared" ref="Q6:Q29" si="1">ROUNDUP(P6/N6,0)</f>
        <v>2</v>
      </c>
      <c r="R6" s="6">
        <f t="shared" ref="R6:R29" si="2">M6*Q6</f>
        <v>72</v>
      </c>
      <c r="U6"/>
      <c r="V6"/>
      <c r="W6" s="36">
        <f>((2*((0.0178*40)/Z6)*AB6*X6)/220)*100</f>
        <v>1.7499665454545454</v>
      </c>
      <c r="X6" s="36">
        <v>0.9</v>
      </c>
      <c r="Y6" s="36">
        <v>10</v>
      </c>
      <c r="Z6" s="36">
        <v>1.5</v>
      </c>
      <c r="AA6" s="36">
        <f>R26+R27+R28+R29</f>
        <v>892</v>
      </c>
      <c r="AB6" s="36">
        <f t="shared" ref="AB6:AB7" si="3">ROUNDUP(AA6/(220*X6),3)</f>
        <v>4.5060000000000002</v>
      </c>
      <c r="AC6" s="36" t="s">
        <v>53</v>
      </c>
      <c r="AD6" s="36" t="s">
        <v>74</v>
      </c>
      <c r="AE6" s="36" t="s">
        <v>80</v>
      </c>
      <c r="AG6" s="36">
        <v>3</v>
      </c>
      <c r="AH6" s="36" t="s">
        <v>86</v>
      </c>
      <c r="AI6" s="36">
        <v>100</v>
      </c>
      <c r="AJ6" s="36">
        <v>11.3</v>
      </c>
      <c r="AK6" s="36">
        <v>10</v>
      </c>
      <c r="AL6" s="36" t="s">
        <v>83</v>
      </c>
      <c r="AM6" s="36" t="s">
        <v>80</v>
      </c>
    </row>
    <row r="7" spans="2:42" ht="15" thickTop="1" thickBot="1" x14ac:dyDescent="0.3">
      <c r="B7" s="20" t="s">
        <v>2</v>
      </c>
      <c r="C7" s="34">
        <v>4</v>
      </c>
      <c r="D7" s="6">
        <v>3</v>
      </c>
      <c r="F7" s="20" t="s">
        <v>2</v>
      </c>
      <c r="G7" s="18">
        <v>4</v>
      </c>
      <c r="H7" s="16">
        <v>400</v>
      </c>
      <c r="I7" s="6">
        <v>0.9</v>
      </c>
      <c r="J7" s="6">
        <v>0.8</v>
      </c>
      <c r="K7" s="6">
        <v>0.9</v>
      </c>
      <c r="L7" s="17" t="s">
        <v>29</v>
      </c>
      <c r="M7" s="6">
        <v>9</v>
      </c>
      <c r="N7" s="6">
        <v>900</v>
      </c>
      <c r="O7" s="4" t="s">
        <v>30</v>
      </c>
      <c r="P7" s="6">
        <f t="shared" si="0"/>
        <v>2223</v>
      </c>
      <c r="Q7" s="6">
        <f t="shared" si="1"/>
        <v>3</v>
      </c>
      <c r="R7" s="6">
        <f t="shared" si="2"/>
        <v>27</v>
      </c>
      <c r="W7" s="36">
        <f>((2*((0.0178*36)/Z7)*AB7*X7)/220)*100</f>
        <v>2.6480186181818186</v>
      </c>
      <c r="X7" s="36">
        <v>0.9</v>
      </c>
      <c r="Y7" s="36">
        <v>10</v>
      </c>
      <c r="Z7" s="36">
        <v>1.5</v>
      </c>
      <c r="AA7" s="36">
        <f>R33+R34</f>
        <v>1500</v>
      </c>
      <c r="AB7" s="36">
        <f t="shared" si="3"/>
        <v>7.5760000000000005</v>
      </c>
      <c r="AC7" s="36" t="s">
        <v>51</v>
      </c>
      <c r="AD7" s="36" t="s">
        <v>75</v>
      </c>
      <c r="AE7" s="36" t="s">
        <v>81</v>
      </c>
      <c r="AF7" s="2"/>
      <c r="AG7" s="36">
        <v>3</v>
      </c>
      <c r="AH7" s="36" t="s">
        <v>87</v>
      </c>
      <c r="AI7" s="36">
        <v>100</v>
      </c>
      <c r="AJ7" s="36">
        <v>11.3</v>
      </c>
      <c r="AK7" s="36">
        <v>10</v>
      </c>
      <c r="AL7" s="36" t="s">
        <v>83</v>
      </c>
      <c r="AM7" s="36" t="s">
        <v>81</v>
      </c>
      <c r="AN7" s="2"/>
      <c r="AO7" s="2"/>
      <c r="AP7" s="2"/>
    </row>
    <row r="8" spans="2:42" ht="15" thickTop="1" thickBot="1" x14ac:dyDescent="0.3">
      <c r="B8" s="20" t="s">
        <v>19</v>
      </c>
      <c r="C8" s="34">
        <v>10</v>
      </c>
      <c r="D8" s="6">
        <v>3</v>
      </c>
      <c r="F8" s="20" t="s">
        <v>19</v>
      </c>
      <c r="G8" s="18">
        <v>10</v>
      </c>
      <c r="H8" s="16">
        <v>500</v>
      </c>
      <c r="I8" s="6">
        <v>0.9</v>
      </c>
      <c r="J8" s="6">
        <v>0.8</v>
      </c>
      <c r="K8" s="6">
        <v>0.9</v>
      </c>
      <c r="L8" s="17" t="s">
        <v>31</v>
      </c>
      <c r="M8" s="6">
        <v>24</v>
      </c>
      <c r="N8" s="6">
        <v>2400</v>
      </c>
      <c r="O8" s="4" t="s">
        <v>32</v>
      </c>
      <c r="P8" s="6">
        <f t="shared" si="0"/>
        <v>6945</v>
      </c>
      <c r="Q8" s="6">
        <f t="shared" si="1"/>
        <v>3</v>
      </c>
      <c r="R8" s="6">
        <f t="shared" si="2"/>
        <v>72</v>
      </c>
      <c r="W8" s="2"/>
    </row>
    <row r="9" spans="2:42" ht="15" thickTop="1" thickBot="1" x14ac:dyDescent="0.3">
      <c r="B9" s="20" t="s">
        <v>20</v>
      </c>
      <c r="C9" s="34">
        <v>9</v>
      </c>
      <c r="D9" s="6">
        <v>3</v>
      </c>
      <c r="F9" s="20" t="s">
        <v>20</v>
      </c>
      <c r="G9" s="18">
        <v>9</v>
      </c>
      <c r="H9" s="16">
        <v>350</v>
      </c>
      <c r="I9" s="6">
        <v>0.9</v>
      </c>
      <c r="J9" s="6">
        <v>0.8</v>
      </c>
      <c r="K9" s="6">
        <v>0.9</v>
      </c>
      <c r="L9" s="17" t="s">
        <v>31</v>
      </c>
      <c r="M9" s="6">
        <v>24</v>
      </c>
      <c r="N9" s="6">
        <v>2400</v>
      </c>
      <c r="O9" s="4" t="s">
        <v>32</v>
      </c>
      <c r="P9" s="6">
        <f t="shared" si="0"/>
        <v>4375</v>
      </c>
      <c r="Q9" s="6">
        <f t="shared" si="1"/>
        <v>2</v>
      </c>
      <c r="R9" s="6">
        <f t="shared" si="2"/>
        <v>48</v>
      </c>
      <c r="W9" s="2"/>
    </row>
    <row r="10" spans="2:42" ht="15" thickTop="1" thickBot="1" x14ac:dyDescent="0.3">
      <c r="B10" s="20" t="s">
        <v>21</v>
      </c>
      <c r="C10" s="34">
        <v>2.5</v>
      </c>
      <c r="D10" s="6">
        <v>3</v>
      </c>
      <c r="F10" s="20" t="s">
        <v>21</v>
      </c>
      <c r="G10" s="18">
        <v>2.5</v>
      </c>
      <c r="H10" s="16">
        <v>500</v>
      </c>
      <c r="I10" s="6">
        <v>0.9</v>
      </c>
      <c r="J10" s="6">
        <v>0.8</v>
      </c>
      <c r="K10" s="6">
        <v>0.9</v>
      </c>
      <c r="L10" s="17" t="s">
        <v>29</v>
      </c>
      <c r="M10" s="6">
        <v>9</v>
      </c>
      <c r="N10" s="6">
        <v>900</v>
      </c>
      <c r="O10" s="4" t="s">
        <v>30</v>
      </c>
      <c r="P10" s="6">
        <f t="shared" si="0"/>
        <v>1737</v>
      </c>
      <c r="Q10" s="6">
        <f t="shared" si="1"/>
        <v>2</v>
      </c>
      <c r="R10" s="6">
        <f t="shared" si="2"/>
        <v>18</v>
      </c>
      <c r="W10" s="2"/>
    </row>
    <row r="11" spans="2:42" ht="15" thickTop="1" thickBot="1" x14ac:dyDescent="0.3">
      <c r="B11" s="20" t="s">
        <v>0</v>
      </c>
      <c r="C11" s="34">
        <v>25</v>
      </c>
      <c r="D11" s="6">
        <v>3</v>
      </c>
      <c r="F11" s="20" t="s">
        <v>0</v>
      </c>
      <c r="G11" s="18">
        <v>25</v>
      </c>
      <c r="H11" s="16">
        <v>250</v>
      </c>
      <c r="I11" s="6">
        <v>0.8</v>
      </c>
      <c r="J11" s="6">
        <v>0.8</v>
      </c>
      <c r="K11" s="6">
        <v>0.9</v>
      </c>
      <c r="L11" s="17" t="s">
        <v>25</v>
      </c>
      <c r="M11" s="6">
        <v>10</v>
      </c>
      <c r="N11" s="6">
        <v>1000</v>
      </c>
      <c r="O11" s="4" t="s">
        <v>28</v>
      </c>
      <c r="P11" s="6">
        <f t="shared" si="0"/>
        <v>9766</v>
      </c>
      <c r="Q11" s="6">
        <f t="shared" si="1"/>
        <v>10</v>
      </c>
      <c r="R11" s="6">
        <f t="shared" si="2"/>
        <v>100</v>
      </c>
      <c r="W11" s="2"/>
    </row>
    <row r="12" spans="2:42" ht="15" thickTop="1" thickBot="1" x14ac:dyDescent="0.3">
      <c r="B12" s="20" t="s">
        <v>3</v>
      </c>
      <c r="C12" s="34">
        <v>33</v>
      </c>
      <c r="D12" s="6">
        <v>3</v>
      </c>
      <c r="F12" s="20" t="s">
        <v>3</v>
      </c>
      <c r="G12" s="18">
        <v>33</v>
      </c>
      <c r="H12" s="16">
        <v>300</v>
      </c>
      <c r="I12" s="6">
        <v>0.95</v>
      </c>
      <c r="J12" s="6">
        <v>0.8</v>
      </c>
      <c r="K12" s="6">
        <v>0.9</v>
      </c>
      <c r="L12" s="17" t="s">
        <v>33</v>
      </c>
      <c r="M12" s="6" t="s">
        <v>43</v>
      </c>
      <c r="N12" s="6">
        <v>3600</v>
      </c>
      <c r="O12" s="4" t="s">
        <v>34</v>
      </c>
      <c r="P12" s="6">
        <f t="shared" si="0"/>
        <v>13027</v>
      </c>
      <c r="Q12" s="6">
        <f t="shared" si="1"/>
        <v>4</v>
      </c>
      <c r="R12" s="6">
        <f>36*Q12</f>
        <v>144</v>
      </c>
      <c r="W12" s="2"/>
    </row>
    <row r="13" spans="2:42" ht="15" thickTop="1" thickBot="1" x14ac:dyDescent="0.3">
      <c r="B13" s="20" t="s">
        <v>4</v>
      </c>
      <c r="C13" s="34">
        <v>19</v>
      </c>
      <c r="D13" s="6">
        <v>3</v>
      </c>
      <c r="F13" s="20" t="s">
        <v>4</v>
      </c>
      <c r="G13" s="18">
        <v>19</v>
      </c>
      <c r="H13" s="16">
        <v>400</v>
      </c>
      <c r="I13" s="6">
        <v>0.9</v>
      </c>
      <c r="J13" s="6">
        <v>0.8</v>
      </c>
      <c r="K13" s="6">
        <v>0.9</v>
      </c>
      <c r="L13" s="17" t="s">
        <v>27</v>
      </c>
      <c r="M13" s="6">
        <v>36</v>
      </c>
      <c r="N13" s="6">
        <v>3600</v>
      </c>
      <c r="O13" s="4" t="s">
        <v>28</v>
      </c>
      <c r="P13" s="6">
        <f t="shared" si="0"/>
        <v>10556</v>
      </c>
      <c r="Q13" s="6">
        <f t="shared" si="1"/>
        <v>3</v>
      </c>
      <c r="R13" s="6">
        <f t="shared" si="2"/>
        <v>108</v>
      </c>
      <c r="W13" s="2"/>
    </row>
    <row r="14" spans="2:42" ht="15" thickTop="1" thickBot="1" x14ac:dyDescent="0.3">
      <c r="B14" s="20" t="s">
        <v>5</v>
      </c>
      <c r="C14" s="34">
        <v>7</v>
      </c>
      <c r="D14" s="6">
        <v>3</v>
      </c>
      <c r="F14" s="20" t="s">
        <v>5</v>
      </c>
      <c r="G14" s="18">
        <v>7</v>
      </c>
      <c r="H14" s="16">
        <v>150</v>
      </c>
      <c r="I14" s="6">
        <v>0.85</v>
      </c>
      <c r="J14" s="6">
        <v>0.8</v>
      </c>
      <c r="K14" s="6">
        <v>0.9</v>
      </c>
      <c r="L14" s="17" t="s">
        <v>35</v>
      </c>
      <c r="M14" s="6">
        <v>4</v>
      </c>
      <c r="N14" s="6">
        <v>400</v>
      </c>
      <c r="O14" s="4" t="s">
        <v>36</v>
      </c>
      <c r="P14" s="6">
        <f t="shared" si="0"/>
        <v>1545</v>
      </c>
      <c r="Q14" s="6">
        <f t="shared" si="1"/>
        <v>4</v>
      </c>
      <c r="R14" s="6">
        <f t="shared" si="2"/>
        <v>16</v>
      </c>
      <c r="W14" s="2"/>
    </row>
    <row r="15" spans="2:42" ht="15" thickTop="1" thickBot="1" x14ac:dyDescent="0.3">
      <c r="B15" s="20" t="s">
        <v>6</v>
      </c>
      <c r="C15" s="34">
        <v>7</v>
      </c>
      <c r="D15" s="6">
        <v>3</v>
      </c>
      <c r="F15" s="20" t="s">
        <v>6</v>
      </c>
      <c r="G15" s="18">
        <v>7</v>
      </c>
      <c r="H15" s="16">
        <v>150</v>
      </c>
      <c r="I15" s="6">
        <v>0.85</v>
      </c>
      <c r="J15" s="6">
        <v>0.8</v>
      </c>
      <c r="K15" s="6">
        <v>0.9</v>
      </c>
      <c r="L15" s="17" t="s">
        <v>35</v>
      </c>
      <c r="M15" s="6">
        <v>4</v>
      </c>
      <c r="N15" s="6">
        <v>400</v>
      </c>
      <c r="O15" s="4" t="s">
        <v>36</v>
      </c>
      <c r="P15" s="6">
        <f t="shared" si="0"/>
        <v>1545</v>
      </c>
      <c r="Q15" s="6">
        <f t="shared" si="1"/>
        <v>4</v>
      </c>
      <c r="R15" s="6">
        <f t="shared" si="2"/>
        <v>16</v>
      </c>
      <c r="W15" s="2"/>
      <c r="AB15" s="2"/>
    </row>
    <row r="16" spans="2:42" ht="15" thickTop="1" thickBot="1" x14ac:dyDescent="0.3">
      <c r="B16" s="20" t="s">
        <v>7</v>
      </c>
      <c r="C16" s="34">
        <v>10</v>
      </c>
      <c r="D16" s="6">
        <v>3</v>
      </c>
      <c r="F16" s="20" t="s">
        <v>7</v>
      </c>
      <c r="G16" s="18">
        <v>10</v>
      </c>
      <c r="H16" s="16">
        <v>100</v>
      </c>
      <c r="I16" s="6">
        <v>0.9</v>
      </c>
      <c r="J16" s="6">
        <v>0.8</v>
      </c>
      <c r="K16" s="6">
        <v>0.9</v>
      </c>
      <c r="L16" s="17" t="s">
        <v>25</v>
      </c>
      <c r="M16" s="6">
        <v>10</v>
      </c>
      <c r="N16" s="6">
        <v>1000</v>
      </c>
      <c r="O16" s="4" t="s">
        <v>37</v>
      </c>
      <c r="P16" s="6">
        <f t="shared" si="0"/>
        <v>1389</v>
      </c>
      <c r="Q16" s="6">
        <f t="shared" si="1"/>
        <v>2</v>
      </c>
      <c r="R16" s="6">
        <f t="shared" si="2"/>
        <v>20</v>
      </c>
      <c r="W16" s="2"/>
    </row>
    <row r="17" spans="2:92" ht="15" thickTop="1" thickBot="1" x14ac:dyDescent="0.3">
      <c r="B17" s="20" t="s">
        <v>8</v>
      </c>
      <c r="C17" s="34">
        <v>15</v>
      </c>
      <c r="D17" s="6">
        <v>3</v>
      </c>
      <c r="F17" s="20" t="s">
        <v>8</v>
      </c>
      <c r="G17" s="18">
        <v>15</v>
      </c>
      <c r="H17" s="16">
        <v>300</v>
      </c>
      <c r="I17" s="6">
        <v>0.9</v>
      </c>
      <c r="J17" s="6">
        <v>0.8</v>
      </c>
      <c r="K17" s="6">
        <v>0.9</v>
      </c>
      <c r="L17" s="17" t="s">
        <v>38</v>
      </c>
      <c r="M17" s="6">
        <v>18</v>
      </c>
      <c r="N17" s="6">
        <v>1800</v>
      </c>
      <c r="O17" s="4" t="s">
        <v>39</v>
      </c>
      <c r="P17" s="6">
        <f t="shared" si="0"/>
        <v>6250</v>
      </c>
      <c r="Q17" s="6">
        <f t="shared" si="1"/>
        <v>4</v>
      </c>
      <c r="R17" s="6">
        <f t="shared" si="2"/>
        <v>72</v>
      </c>
      <c r="W17" s="2"/>
    </row>
    <row r="18" spans="2:92" ht="15" thickTop="1" thickBot="1" x14ac:dyDescent="0.3">
      <c r="B18" s="20" t="s">
        <v>9</v>
      </c>
      <c r="C18" s="34">
        <v>12.5</v>
      </c>
      <c r="D18" s="6">
        <v>3</v>
      </c>
      <c r="F18" s="20" t="s">
        <v>9</v>
      </c>
      <c r="G18" s="18">
        <v>12.5</v>
      </c>
      <c r="H18" s="16">
        <v>150</v>
      </c>
      <c r="I18" s="6">
        <v>0.9</v>
      </c>
      <c r="J18" s="6">
        <v>0.8</v>
      </c>
      <c r="K18" s="6">
        <v>0.9</v>
      </c>
      <c r="L18" s="17" t="s">
        <v>38</v>
      </c>
      <c r="M18" s="6">
        <v>18</v>
      </c>
      <c r="N18" s="6">
        <v>1800</v>
      </c>
      <c r="O18" s="4" t="s">
        <v>39</v>
      </c>
      <c r="P18" s="6">
        <f t="shared" si="0"/>
        <v>2605</v>
      </c>
      <c r="Q18" s="6">
        <f t="shared" si="1"/>
        <v>2</v>
      </c>
      <c r="R18" s="6">
        <f t="shared" si="2"/>
        <v>36</v>
      </c>
      <c r="W18" s="2"/>
    </row>
    <row r="19" spans="2:92" ht="15" thickTop="1" thickBot="1" x14ac:dyDescent="0.3">
      <c r="B19" s="20" t="s">
        <v>10</v>
      </c>
      <c r="C19" s="34">
        <v>6</v>
      </c>
      <c r="D19" s="6">
        <v>3</v>
      </c>
      <c r="F19" s="20" t="s">
        <v>10</v>
      </c>
      <c r="G19" s="18">
        <v>6</v>
      </c>
      <c r="H19" s="16">
        <v>200</v>
      </c>
      <c r="I19" s="6">
        <v>0.75</v>
      </c>
      <c r="J19" s="6">
        <v>0.8</v>
      </c>
      <c r="K19" s="6">
        <v>0.9</v>
      </c>
      <c r="L19" s="17" t="s">
        <v>29</v>
      </c>
      <c r="M19" s="6">
        <v>9</v>
      </c>
      <c r="N19" s="6">
        <v>900</v>
      </c>
      <c r="O19" s="4" t="s">
        <v>30</v>
      </c>
      <c r="P19" s="6">
        <f t="shared" si="0"/>
        <v>2000</v>
      </c>
      <c r="Q19" s="6">
        <f t="shared" si="1"/>
        <v>3</v>
      </c>
      <c r="R19" s="6">
        <f t="shared" si="2"/>
        <v>27</v>
      </c>
      <c r="W19" s="2"/>
    </row>
    <row r="20" spans="2:92" ht="15" thickTop="1" thickBot="1" x14ac:dyDescent="0.3">
      <c r="B20" s="20" t="s">
        <v>11</v>
      </c>
      <c r="C20" s="34">
        <v>75</v>
      </c>
      <c r="D20" s="6">
        <v>3</v>
      </c>
      <c r="F20" s="20" t="s">
        <v>11</v>
      </c>
      <c r="G20" s="18">
        <v>75</v>
      </c>
      <c r="H20" s="16">
        <v>200</v>
      </c>
      <c r="I20" s="6">
        <v>0.8</v>
      </c>
      <c r="J20" s="6">
        <v>0.8</v>
      </c>
      <c r="K20" s="6">
        <v>0.9</v>
      </c>
      <c r="L20" s="17" t="s">
        <v>38</v>
      </c>
      <c r="M20" s="6">
        <v>18</v>
      </c>
      <c r="N20" s="6">
        <v>1800</v>
      </c>
      <c r="O20" s="4" t="s">
        <v>39</v>
      </c>
      <c r="P20" s="6">
        <f t="shared" si="0"/>
        <v>23438</v>
      </c>
      <c r="Q20" s="6">
        <f t="shared" si="1"/>
        <v>14</v>
      </c>
      <c r="R20" s="6">
        <f t="shared" si="2"/>
        <v>252</v>
      </c>
      <c r="W20" s="2"/>
    </row>
    <row r="21" spans="2:92" ht="15" thickTop="1" thickBot="1" x14ac:dyDescent="0.3">
      <c r="B21" s="20" t="s">
        <v>12</v>
      </c>
      <c r="C21" s="34">
        <v>21</v>
      </c>
      <c r="D21" s="6">
        <v>3</v>
      </c>
      <c r="F21" s="20" t="s">
        <v>12</v>
      </c>
      <c r="G21" s="18">
        <v>21</v>
      </c>
      <c r="H21" s="16">
        <v>500</v>
      </c>
      <c r="I21" s="6">
        <v>0.9</v>
      </c>
      <c r="J21" s="6">
        <v>0.8</v>
      </c>
      <c r="K21" s="6">
        <v>0.9</v>
      </c>
      <c r="L21" s="17" t="s">
        <v>27</v>
      </c>
      <c r="M21" s="6">
        <v>36</v>
      </c>
      <c r="N21" s="6">
        <v>3600</v>
      </c>
      <c r="O21" s="4" t="s">
        <v>28</v>
      </c>
      <c r="P21" s="6">
        <f t="shared" si="0"/>
        <v>14584</v>
      </c>
      <c r="Q21" s="6">
        <f t="shared" si="1"/>
        <v>5</v>
      </c>
      <c r="R21" s="6">
        <f t="shared" si="2"/>
        <v>180</v>
      </c>
      <c r="W21" s="2"/>
    </row>
    <row r="22" spans="2:92" ht="15" thickTop="1" thickBot="1" x14ac:dyDescent="0.3">
      <c r="B22" s="20" t="s">
        <v>13</v>
      </c>
      <c r="C22" s="34">
        <v>18</v>
      </c>
      <c r="D22" s="6">
        <v>3</v>
      </c>
      <c r="F22" s="20" t="s">
        <v>13</v>
      </c>
      <c r="G22" s="18">
        <v>18</v>
      </c>
      <c r="H22" s="16">
        <v>400</v>
      </c>
      <c r="I22" s="6">
        <v>0.9</v>
      </c>
      <c r="J22" s="6">
        <v>0.8</v>
      </c>
      <c r="K22" s="6">
        <v>0.9</v>
      </c>
      <c r="L22" s="17" t="s">
        <v>27</v>
      </c>
      <c r="M22" s="6">
        <v>36</v>
      </c>
      <c r="N22" s="6">
        <v>3600</v>
      </c>
      <c r="O22" s="4" t="s">
        <v>28</v>
      </c>
      <c r="P22" s="6">
        <f t="shared" si="0"/>
        <v>10000</v>
      </c>
      <c r="Q22" s="6">
        <f t="shared" si="1"/>
        <v>3</v>
      </c>
      <c r="R22" s="6">
        <f t="shared" si="2"/>
        <v>108</v>
      </c>
      <c r="W22" s="2"/>
    </row>
    <row r="23" spans="2:92" ht="15" thickTop="1" thickBot="1" x14ac:dyDescent="0.3">
      <c r="B23" s="20" t="s">
        <v>63</v>
      </c>
      <c r="C23" s="34">
        <v>26</v>
      </c>
      <c r="D23" s="6">
        <v>3</v>
      </c>
      <c r="F23" s="20" t="s">
        <v>63</v>
      </c>
      <c r="G23" s="18">
        <v>26</v>
      </c>
      <c r="H23" s="16">
        <v>800</v>
      </c>
      <c r="I23" s="6">
        <v>0.9</v>
      </c>
      <c r="J23" s="6">
        <v>0.8</v>
      </c>
      <c r="K23" s="6">
        <v>0.9</v>
      </c>
      <c r="L23" s="17" t="s">
        <v>27</v>
      </c>
      <c r="M23" s="6">
        <v>36</v>
      </c>
      <c r="N23" s="6">
        <v>3600</v>
      </c>
      <c r="O23" s="4" t="s">
        <v>28</v>
      </c>
      <c r="P23" s="6">
        <f t="shared" si="0"/>
        <v>28889</v>
      </c>
      <c r="Q23" s="6">
        <f t="shared" si="1"/>
        <v>9</v>
      </c>
      <c r="R23" s="6">
        <f t="shared" si="2"/>
        <v>324</v>
      </c>
      <c r="W23" s="2"/>
    </row>
    <row r="24" spans="2:92" ht="15" thickTop="1" thickBot="1" x14ac:dyDescent="0.3">
      <c r="B24" s="20" t="s">
        <v>14</v>
      </c>
      <c r="C24" s="34">
        <v>32</v>
      </c>
      <c r="D24" s="6">
        <v>3</v>
      </c>
      <c r="F24" s="20" t="s">
        <v>14</v>
      </c>
      <c r="G24" s="18">
        <v>32</v>
      </c>
      <c r="H24" s="16">
        <v>500</v>
      </c>
      <c r="I24" s="6">
        <v>0.9</v>
      </c>
      <c r="J24" s="6">
        <v>0.8</v>
      </c>
      <c r="K24" s="6">
        <v>0.9</v>
      </c>
      <c r="L24" s="17" t="s">
        <v>27</v>
      </c>
      <c r="M24" s="6">
        <v>36</v>
      </c>
      <c r="N24" s="6">
        <v>3600</v>
      </c>
      <c r="O24" s="4" t="s">
        <v>28</v>
      </c>
      <c r="P24" s="6">
        <f t="shared" si="0"/>
        <v>22223</v>
      </c>
      <c r="Q24" s="6">
        <f t="shared" si="1"/>
        <v>7</v>
      </c>
      <c r="R24" s="6">
        <f t="shared" si="2"/>
        <v>252</v>
      </c>
      <c r="W24" s="2"/>
    </row>
    <row r="25" spans="2:92" ht="15" thickTop="1" thickBot="1" x14ac:dyDescent="0.3">
      <c r="B25" s="20" t="s">
        <v>15</v>
      </c>
      <c r="C25" s="34">
        <v>39</v>
      </c>
      <c r="D25" s="6">
        <v>3</v>
      </c>
      <c r="F25" s="20" t="s">
        <v>15</v>
      </c>
      <c r="G25" s="18">
        <v>39</v>
      </c>
      <c r="H25" s="16">
        <v>200</v>
      </c>
      <c r="I25" s="6">
        <v>0.8</v>
      </c>
      <c r="J25" s="6">
        <v>0.8</v>
      </c>
      <c r="K25" s="6">
        <v>0.9</v>
      </c>
      <c r="L25" s="17" t="s">
        <v>38</v>
      </c>
      <c r="M25" s="6">
        <v>18</v>
      </c>
      <c r="N25" s="6">
        <v>1800</v>
      </c>
      <c r="O25" s="4" t="s">
        <v>39</v>
      </c>
      <c r="P25" s="6">
        <f t="shared" si="0"/>
        <v>12188</v>
      </c>
      <c r="Q25" s="6">
        <f t="shared" si="1"/>
        <v>7</v>
      </c>
      <c r="R25" s="6">
        <f t="shared" si="2"/>
        <v>126</v>
      </c>
      <c r="W25" s="2"/>
    </row>
    <row r="26" spans="2:92" ht="15" thickTop="1" thickBot="1" x14ac:dyDescent="0.3">
      <c r="B26" s="20" t="s">
        <v>16</v>
      </c>
      <c r="C26" s="34">
        <v>27</v>
      </c>
      <c r="D26" s="6">
        <v>3</v>
      </c>
      <c r="F26" s="20" t="s">
        <v>16</v>
      </c>
      <c r="G26" s="18">
        <v>27</v>
      </c>
      <c r="H26" s="16">
        <v>750</v>
      </c>
      <c r="I26" s="6">
        <v>0.85</v>
      </c>
      <c r="J26" s="6">
        <v>0.8</v>
      </c>
      <c r="K26" s="6">
        <v>0.9</v>
      </c>
      <c r="L26" s="17" t="s">
        <v>27</v>
      </c>
      <c r="M26" s="6">
        <v>36</v>
      </c>
      <c r="N26" s="6">
        <v>3600</v>
      </c>
      <c r="O26" s="4" t="s">
        <v>28</v>
      </c>
      <c r="P26" s="6">
        <f t="shared" si="0"/>
        <v>29780</v>
      </c>
      <c r="Q26" s="6">
        <f t="shared" si="1"/>
        <v>9</v>
      </c>
      <c r="R26" s="6">
        <f t="shared" si="2"/>
        <v>324</v>
      </c>
      <c r="W26" s="2"/>
    </row>
    <row r="27" spans="2:92" ht="15" thickTop="1" thickBot="1" x14ac:dyDescent="0.3">
      <c r="B27" s="20" t="s">
        <v>17</v>
      </c>
      <c r="C27" s="34">
        <v>18</v>
      </c>
      <c r="D27" s="6">
        <v>3</v>
      </c>
      <c r="F27" s="20" t="s">
        <v>17</v>
      </c>
      <c r="G27" s="18">
        <v>18</v>
      </c>
      <c r="H27" s="16">
        <v>700</v>
      </c>
      <c r="I27" s="6">
        <v>0.9</v>
      </c>
      <c r="J27" s="6">
        <v>0.8</v>
      </c>
      <c r="K27" s="6">
        <v>0.9</v>
      </c>
      <c r="L27" s="17" t="s">
        <v>27</v>
      </c>
      <c r="M27" s="6">
        <v>36</v>
      </c>
      <c r="N27" s="6">
        <v>3600</v>
      </c>
      <c r="O27" s="4" t="s">
        <v>28</v>
      </c>
      <c r="P27" s="6">
        <f t="shared" si="0"/>
        <v>17500</v>
      </c>
      <c r="Q27" s="6">
        <f t="shared" si="1"/>
        <v>5</v>
      </c>
      <c r="R27" s="6">
        <f t="shared" si="2"/>
        <v>180</v>
      </c>
      <c r="W27" s="2"/>
    </row>
    <row r="28" spans="2:92" ht="15" thickTop="1" thickBot="1" x14ac:dyDescent="0.3">
      <c r="B28" s="20" t="s">
        <v>18</v>
      </c>
      <c r="C28" s="34">
        <v>26</v>
      </c>
      <c r="D28" s="6">
        <v>3</v>
      </c>
      <c r="F28" s="20" t="s">
        <v>18</v>
      </c>
      <c r="G28" s="18">
        <v>26</v>
      </c>
      <c r="H28" s="16">
        <v>750</v>
      </c>
      <c r="I28" s="6">
        <v>0.9</v>
      </c>
      <c r="J28" s="6">
        <v>0.8</v>
      </c>
      <c r="K28" s="6">
        <v>0.9</v>
      </c>
      <c r="L28" s="17" t="s">
        <v>27</v>
      </c>
      <c r="M28" s="6">
        <v>40</v>
      </c>
      <c r="N28" s="6">
        <v>4000</v>
      </c>
      <c r="O28" s="4" t="s">
        <v>40</v>
      </c>
      <c r="P28" s="6">
        <f t="shared" si="0"/>
        <v>27084</v>
      </c>
      <c r="Q28" s="6">
        <f t="shared" si="1"/>
        <v>7</v>
      </c>
      <c r="R28" s="6">
        <f t="shared" si="2"/>
        <v>280</v>
      </c>
      <c r="W28" s="2"/>
    </row>
    <row r="29" spans="2:92" ht="15" thickTop="1" thickBot="1" x14ac:dyDescent="0.3">
      <c r="B29" s="21" t="s">
        <v>42</v>
      </c>
      <c r="C29" s="34">
        <v>32</v>
      </c>
      <c r="D29" s="6">
        <v>3</v>
      </c>
      <c r="F29" s="21" t="s">
        <v>42</v>
      </c>
      <c r="G29" s="18">
        <v>32</v>
      </c>
      <c r="H29" s="16">
        <v>200</v>
      </c>
      <c r="I29" s="6">
        <v>0.8</v>
      </c>
      <c r="J29" s="6">
        <v>0.8</v>
      </c>
      <c r="K29" s="6">
        <v>0.9</v>
      </c>
      <c r="L29" s="17" t="s">
        <v>38</v>
      </c>
      <c r="M29" s="6">
        <v>18</v>
      </c>
      <c r="N29" s="6">
        <v>1800</v>
      </c>
      <c r="O29" s="4" t="s">
        <v>39</v>
      </c>
      <c r="P29" s="6">
        <f t="shared" si="0"/>
        <v>10000</v>
      </c>
      <c r="Q29" s="6">
        <f t="shared" si="1"/>
        <v>6</v>
      </c>
      <c r="R29" s="6">
        <f t="shared" si="2"/>
        <v>108</v>
      </c>
      <c r="W29" s="2"/>
    </row>
    <row r="30" spans="2:92" x14ac:dyDescent="0.25">
      <c r="B30" s="5"/>
      <c r="C30" s="2"/>
      <c r="D30" s="2"/>
      <c r="F30"/>
      <c r="G30" s="1"/>
      <c r="H30" s="1"/>
      <c r="I30" s="2"/>
      <c r="J30" s="2"/>
      <c r="K30" s="2"/>
      <c r="M30" s="8"/>
      <c r="N30" s="5"/>
      <c r="O30" s="5"/>
      <c r="P30" s="5"/>
      <c r="Q30" s="5"/>
      <c r="R30" s="5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</row>
    <row r="31" spans="2:92" ht="25.2" thickBot="1" x14ac:dyDescent="0.3">
      <c r="B31" s="2"/>
      <c r="C31" s="2"/>
      <c r="D31" s="2"/>
      <c r="F31" s="41" t="s">
        <v>61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</row>
    <row r="32" spans="2:92" ht="17.399999999999999" thickTop="1" thickBot="1" x14ac:dyDescent="0.3">
      <c r="B32" s="2"/>
      <c r="C32" s="2"/>
      <c r="D32" s="2"/>
      <c r="F32" s="14" t="s">
        <v>54</v>
      </c>
      <c r="G32" s="14" t="s">
        <v>45</v>
      </c>
      <c r="H32" s="14" t="s">
        <v>55</v>
      </c>
      <c r="I32" s="14" t="s">
        <v>77</v>
      </c>
      <c r="J32" s="14" t="s">
        <v>76</v>
      </c>
      <c r="K32" s="15" t="s">
        <v>60</v>
      </c>
      <c r="L32" s="14" t="s">
        <v>23</v>
      </c>
      <c r="M32" s="27" t="s">
        <v>67</v>
      </c>
      <c r="N32" s="27" t="s">
        <v>71</v>
      </c>
      <c r="O32" s="14" t="s">
        <v>24</v>
      </c>
      <c r="P32" s="14" t="s">
        <v>41</v>
      </c>
      <c r="Q32" s="14" t="s">
        <v>69</v>
      </c>
      <c r="R32" s="14" t="s">
        <v>70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</row>
    <row r="33" spans="2:92" ht="15" thickTop="1" thickBot="1" x14ac:dyDescent="0.3">
      <c r="B33" s="2"/>
      <c r="C33" s="2"/>
      <c r="D33" s="2"/>
      <c r="F33" s="30" t="s">
        <v>57</v>
      </c>
      <c r="G33" s="11">
        <v>450</v>
      </c>
      <c r="H33" s="12">
        <v>100</v>
      </c>
      <c r="I33" s="12">
        <v>0.5</v>
      </c>
      <c r="J33" s="12">
        <v>0.8</v>
      </c>
      <c r="K33" s="12">
        <v>0.9</v>
      </c>
      <c r="L33" s="12" t="s">
        <v>58</v>
      </c>
      <c r="M33" s="12">
        <v>100</v>
      </c>
      <c r="N33" s="12">
        <v>10000</v>
      </c>
      <c r="O33" s="12" t="s">
        <v>59</v>
      </c>
      <c r="P33" s="12">
        <f>ROUNDUP((H33*G33)/(J33*I33),0)</f>
        <v>112500</v>
      </c>
      <c r="Q33" s="12">
        <f>ROUNDUP(P33/N33,0)</f>
        <v>12</v>
      </c>
      <c r="R33" s="12">
        <f>M33*Q33</f>
        <v>1200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</row>
    <row r="34" spans="2:92" ht="15" thickTop="1" thickBot="1" x14ac:dyDescent="0.3">
      <c r="B34" s="2"/>
      <c r="C34" s="2"/>
      <c r="D34" s="2"/>
      <c r="F34" s="29" t="s">
        <v>56</v>
      </c>
      <c r="G34" s="10">
        <v>350</v>
      </c>
      <c r="H34" s="6">
        <v>30</v>
      </c>
      <c r="I34" s="6">
        <v>0.5</v>
      </c>
      <c r="J34" s="6">
        <v>0.8</v>
      </c>
      <c r="K34" s="6">
        <v>0.9</v>
      </c>
      <c r="L34" s="6" t="s">
        <v>58</v>
      </c>
      <c r="M34" s="6">
        <v>100</v>
      </c>
      <c r="N34" s="6">
        <v>10000</v>
      </c>
      <c r="O34" s="6" t="s">
        <v>59</v>
      </c>
      <c r="P34" s="6">
        <f>ROUNDUP((H34*G34)/(J34*I34),0)</f>
        <v>26250</v>
      </c>
      <c r="Q34" s="6">
        <f>ROUNDUP(P34/N34,0)</f>
        <v>3</v>
      </c>
      <c r="R34" s="6">
        <f>M34*Q34</f>
        <v>300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</row>
    <row r="35" spans="2:92" x14ac:dyDescent="0.25">
      <c r="B35" s="2"/>
      <c r="C35" s="2"/>
      <c r="D35" s="2"/>
      <c r="H35" s="2"/>
      <c r="I35" s="9"/>
      <c r="J35" s="2"/>
      <c r="K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</row>
    <row r="36" spans="2:92" x14ac:dyDescent="0.25">
      <c r="B36" s="2"/>
      <c r="C36" s="2"/>
      <c r="D36" s="2"/>
      <c r="H36" s="2"/>
      <c r="I36" s="9"/>
      <c r="J36" s="2"/>
      <c r="K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</row>
    <row r="37" spans="2:92" x14ac:dyDescent="0.25">
      <c r="B37" s="2"/>
      <c r="C37" s="2"/>
      <c r="D37" s="2"/>
      <c r="H37" s="2"/>
      <c r="I37" s="9"/>
      <c r="J37" s="2"/>
      <c r="K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</row>
    <row r="38" spans="2:92" x14ac:dyDescent="0.25">
      <c r="B38" s="2"/>
      <c r="C38" s="2"/>
      <c r="D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</row>
    <row r="39" spans="2:92" x14ac:dyDescent="0.25">
      <c r="B39" s="2"/>
      <c r="C39" s="2"/>
      <c r="D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</row>
    <row r="40" spans="2:92" x14ac:dyDescent="0.25">
      <c r="B40" s="2"/>
      <c r="C40" s="2"/>
      <c r="D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</row>
    <row r="41" spans="2:92" x14ac:dyDescent="0.25">
      <c r="B41" s="2"/>
      <c r="C41" s="2"/>
      <c r="D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</row>
    <row r="42" spans="2:92" x14ac:dyDescent="0.25">
      <c r="B42" s="2"/>
      <c r="C42" s="2"/>
      <c r="D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</row>
    <row r="43" spans="2:92" x14ac:dyDescent="0.25">
      <c r="B43" s="2"/>
      <c r="C43" s="2"/>
      <c r="D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</row>
    <row r="44" spans="2:92" x14ac:dyDescent="0.25">
      <c r="B44" s="2"/>
      <c r="C44" s="2"/>
      <c r="D44" s="2"/>
      <c r="H44" s="2"/>
      <c r="I44" s="9"/>
      <c r="J44" s="2"/>
      <c r="K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</row>
    <row r="45" spans="2:92" x14ac:dyDescent="0.25">
      <c r="B45" s="2"/>
      <c r="C45" s="2"/>
      <c r="D45" s="2"/>
      <c r="H45" s="2"/>
      <c r="I45" s="9"/>
      <c r="J45" s="2"/>
      <c r="K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</row>
    <row r="46" spans="2:92" x14ac:dyDescent="0.25">
      <c r="B46" s="2"/>
      <c r="C46" s="2"/>
      <c r="D46" s="2"/>
      <c r="H46" s="2"/>
      <c r="I46" s="9"/>
      <c r="J46" s="2"/>
      <c r="K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</row>
    <row r="47" spans="2:92" x14ac:dyDescent="0.25">
      <c r="B47" s="2"/>
      <c r="C47" s="2"/>
      <c r="D47" s="2"/>
      <c r="H47" s="2"/>
      <c r="I47" s="9"/>
      <c r="J47" s="2"/>
      <c r="K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</row>
    <row r="48" spans="2:92" x14ac:dyDescent="0.25">
      <c r="B48" s="2"/>
      <c r="C48" s="2"/>
      <c r="D48" s="2"/>
      <c r="H48" s="2"/>
      <c r="I48" s="9"/>
      <c r="J48" s="2"/>
      <c r="K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</row>
    <row r="49" spans="2:92" x14ac:dyDescent="0.25">
      <c r="B49" s="2"/>
      <c r="C49" s="2"/>
      <c r="D49" s="2"/>
      <c r="H49" s="2"/>
      <c r="I49" s="9"/>
      <c r="J49" s="2"/>
      <c r="K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</row>
    <row r="50" spans="2:92" x14ac:dyDescent="0.25">
      <c r="B50" s="2"/>
      <c r="C50" s="2"/>
      <c r="D50" s="2"/>
      <c r="H50" s="2"/>
      <c r="I50" s="9"/>
      <c r="J50" s="2"/>
      <c r="K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</row>
    <row r="51" spans="2:92" x14ac:dyDescent="0.25">
      <c r="B51" s="2"/>
      <c r="C51" s="2"/>
      <c r="D51" s="2"/>
      <c r="H51" s="2"/>
      <c r="I51" s="9"/>
      <c r="J51" s="2"/>
      <c r="K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</row>
    <row r="52" spans="2:92" x14ac:dyDescent="0.25">
      <c r="B52" s="2"/>
      <c r="C52" s="2"/>
      <c r="D52" s="2"/>
      <c r="H52" s="2"/>
      <c r="I52" s="9"/>
      <c r="J52" s="2"/>
      <c r="K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</row>
    <row r="53" spans="2:92" x14ac:dyDescent="0.25">
      <c r="B53" s="2"/>
      <c r="C53" s="2"/>
      <c r="D53" s="2"/>
      <c r="H53" s="2"/>
      <c r="I53" s="9"/>
      <c r="J53" s="2"/>
      <c r="K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</row>
    <row r="54" spans="2:92" x14ac:dyDescent="0.25">
      <c r="B54" s="2"/>
      <c r="C54" s="2"/>
      <c r="D54" s="2"/>
      <c r="H54" s="2"/>
      <c r="I54" s="9"/>
      <c r="J54" s="2"/>
      <c r="K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</row>
    <row r="55" spans="2:92" x14ac:dyDescent="0.25">
      <c r="B55" s="2"/>
      <c r="C55" s="2"/>
      <c r="D55" s="2"/>
      <c r="H55" s="2"/>
      <c r="I55" s="9"/>
      <c r="J55" s="2"/>
      <c r="K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</row>
    <row r="56" spans="2:92" x14ac:dyDescent="0.25">
      <c r="B56" s="2"/>
      <c r="C56" s="2"/>
      <c r="D56" s="2"/>
      <c r="H56" s="2"/>
      <c r="I56" s="9"/>
      <c r="J56" s="2"/>
      <c r="K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</row>
    <row r="57" spans="2:92" x14ac:dyDescent="0.25">
      <c r="B57" s="2"/>
      <c r="C57" s="2"/>
      <c r="D57" s="2"/>
      <c r="H57" s="2"/>
      <c r="I57" s="9"/>
      <c r="J57" s="2"/>
      <c r="K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</row>
    <row r="58" spans="2:92" x14ac:dyDescent="0.25">
      <c r="B58" s="5"/>
      <c r="C58" s="2"/>
      <c r="D58" s="2"/>
      <c r="H58" s="2"/>
      <c r="I58" s="9"/>
      <c r="J58" s="2"/>
      <c r="K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</row>
    <row r="59" spans="2:92" x14ac:dyDescent="0.25">
      <c r="B59" s="2"/>
      <c r="C59" s="2"/>
      <c r="D59" s="2"/>
      <c r="H59" s="2"/>
      <c r="I59" s="9"/>
      <c r="J59" s="2"/>
      <c r="K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</row>
    <row r="60" spans="2:92" x14ac:dyDescent="0.25">
      <c r="B60" s="2"/>
      <c r="C60" s="2"/>
      <c r="D60" s="2"/>
      <c r="H60" s="2"/>
      <c r="I60" s="9"/>
      <c r="J60" s="2"/>
      <c r="K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</row>
    <row r="61" spans="2:92" x14ac:dyDescent="0.25">
      <c r="B61" s="2"/>
      <c r="C61" s="2"/>
      <c r="D61" s="2"/>
      <c r="H61" s="2"/>
      <c r="I61" s="9"/>
      <c r="J61" s="2"/>
      <c r="K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</row>
    <row r="62" spans="2:92" x14ac:dyDescent="0.25">
      <c r="B62" s="2"/>
      <c r="C62" s="2"/>
      <c r="D62" s="2"/>
      <c r="H62" s="2"/>
      <c r="I62" s="9"/>
      <c r="J62" s="2"/>
      <c r="K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</row>
    <row r="63" spans="2:92" x14ac:dyDescent="0.25">
      <c r="B63" s="2"/>
      <c r="C63" s="2"/>
      <c r="D63" s="2"/>
      <c r="H63" s="2"/>
      <c r="I63" s="9"/>
      <c r="J63" s="2"/>
      <c r="K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</row>
    <row r="64" spans="2:92" x14ac:dyDescent="0.25">
      <c r="B64" s="2"/>
      <c r="C64" s="2"/>
      <c r="D64" s="2"/>
      <c r="H64" s="2"/>
      <c r="I64" s="9"/>
      <c r="J64" s="2"/>
      <c r="K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</row>
    <row r="65" spans="2:92" x14ac:dyDescent="0.25">
      <c r="B65" s="2"/>
      <c r="C65" s="2"/>
      <c r="D65" s="2"/>
      <c r="H65" s="2"/>
      <c r="I65" s="9"/>
      <c r="J65" s="2"/>
      <c r="K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</row>
    <row r="66" spans="2:92" x14ac:dyDescent="0.25">
      <c r="B66" s="2"/>
      <c r="C66" s="2"/>
      <c r="D66" s="2"/>
      <c r="H66" s="2"/>
      <c r="I66" s="9"/>
      <c r="J66" s="2"/>
      <c r="K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</row>
    <row r="67" spans="2:92" x14ac:dyDescent="0.25">
      <c r="B67" s="2"/>
      <c r="C67" s="2"/>
      <c r="D67" s="2"/>
      <c r="H67" s="2"/>
      <c r="I67" s="9"/>
      <c r="J67" s="2"/>
      <c r="K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</row>
    <row r="68" spans="2:92" x14ac:dyDescent="0.25">
      <c r="B68" s="2"/>
      <c r="C68" s="2"/>
      <c r="D68" s="2"/>
      <c r="H68" s="2"/>
      <c r="I68" s="9"/>
      <c r="J68" s="2"/>
      <c r="K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</row>
    <row r="69" spans="2:92" x14ac:dyDescent="0.25">
      <c r="B69" s="2"/>
      <c r="C69" s="2"/>
      <c r="D69" s="2"/>
      <c r="H69" s="2"/>
      <c r="I69" s="9"/>
      <c r="J69" s="2"/>
      <c r="K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</row>
    <row r="70" spans="2:92" x14ac:dyDescent="0.25">
      <c r="B70" s="2"/>
      <c r="C70" s="2"/>
      <c r="D70" s="2"/>
      <c r="H70" s="2"/>
      <c r="I70" s="9"/>
      <c r="J70" s="2"/>
      <c r="K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</row>
    <row r="71" spans="2:92" x14ac:dyDescent="0.25">
      <c r="B71" s="2"/>
      <c r="C71" s="2"/>
      <c r="D71" s="2"/>
      <c r="H71" s="2"/>
      <c r="I71" s="9"/>
      <c r="J71" s="2"/>
      <c r="K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</row>
    <row r="72" spans="2:92" x14ac:dyDescent="0.25">
      <c r="B72" s="2"/>
      <c r="C72" s="2"/>
      <c r="D72" s="2"/>
      <c r="H72" s="2"/>
      <c r="I72" s="9"/>
      <c r="J72" s="2"/>
      <c r="K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</row>
    <row r="73" spans="2:92" x14ac:dyDescent="0.25">
      <c r="B73" s="2"/>
      <c r="C73" s="2"/>
      <c r="D73" s="2"/>
      <c r="H73" s="2"/>
      <c r="I73" s="9"/>
      <c r="J73" s="2"/>
      <c r="K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</row>
    <row r="74" spans="2:92" x14ac:dyDescent="0.25">
      <c r="B74" s="2"/>
      <c r="C74" s="2"/>
      <c r="D74" s="2"/>
      <c r="H74" s="2"/>
      <c r="I74" s="9"/>
      <c r="J74" s="2"/>
      <c r="K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</row>
    <row r="75" spans="2:92" x14ac:dyDescent="0.25">
      <c r="B75" s="2"/>
      <c r="C75" s="2"/>
      <c r="D75" s="2"/>
      <c r="H75" s="2"/>
      <c r="I75" s="9"/>
      <c r="J75" s="2"/>
      <c r="K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</row>
    <row r="76" spans="2:92" x14ac:dyDescent="0.25">
      <c r="B76" s="2"/>
      <c r="C76" s="2"/>
      <c r="D76" s="2"/>
      <c r="H76" s="2"/>
      <c r="I76" s="9"/>
      <c r="J76" s="2"/>
      <c r="K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</row>
    <row r="77" spans="2:92" x14ac:dyDescent="0.25">
      <c r="B77" s="2"/>
      <c r="C77" s="2"/>
      <c r="D77" s="2"/>
      <c r="H77" s="2"/>
      <c r="I77" s="9"/>
      <c r="J77" s="2"/>
      <c r="K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</row>
    <row r="78" spans="2:92" x14ac:dyDescent="0.25">
      <c r="B78" s="2"/>
      <c r="C78" s="2"/>
      <c r="D78" s="2"/>
      <c r="H78" s="2"/>
      <c r="I78" s="9"/>
      <c r="J78" s="2"/>
      <c r="K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</row>
    <row r="79" spans="2:92" x14ac:dyDescent="0.25">
      <c r="B79" s="2"/>
      <c r="C79" s="2"/>
      <c r="D79" s="2"/>
      <c r="H79" s="2"/>
      <c r="I79" s="9"/>
      <c r="J79" s="2"/>
      <c r="K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</row>
    <row r="80" spans="2:92" x14ac:dyDescent="0.25">
      <c r="B80" s="2"/>
      <c r="C80" s="2"/>
      <c r="D80" s="2"/>
      <c r="H80" s="2"/>
      <c r="I80" s="9"/>
      <c r="J80" s="2"/>
      <c r="K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</row>
    <row r="81" spans="2:91" x14ac:dyDescent="0.25">
      <c r="B81" s="2"/>
      <c r="C81" s="2"/>
      <c r="D81" s="2"/>
      <c r="H81" s="2"/>
      <c r="I81" s="9"/>
      <c r="J81" s="2"/>
      <c r="K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</row>
    <row r="82" spans="2:91" x14ac:dyDescent="0.25">
      <c r="B82" s="2"/>
      <c r="C82" s="2"/>
      <c r="D82" s="2"/>
      <c r="H82" s="2"/>
      <c r="I82" s="9"/>
      <c r="J82" s="2"/>
      <c r="K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</row>
    <row r="83" spans="2:91" x14ac:dyDescent="0.25">
      <c r="B83" s="2"/>
      <c r="C83" s="2"/>
      <c r="D83" s="2"/>
      <c r="H83" s="2"/>
      <c r="I83" s="9"/>
      <c r="J83" s="2"/>
      <c r="K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</row>
    <row r="84" spans="2:91" x14ac:dyDescent="0.25">
      <c r="B84" s="2"/>
      <c r="C84" s="2"/>
      <c r="D84" s="2"/>
      <c r="H84" s="2"/>
      <c r="I84" s="9"/>
      <c r="J84" s="2"/>
      <c r="K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</row>
    <row r="85" spans="2:91" x14ac:dyDescent="0.25">
      <c r="B85" s="2"/>
      <c r="C85" s="2"/>
      <c r="D85" s="2"/>
      <c r="H85" s="2"/>
      <c r="I85" s="9"/>
      <c r="J85" s="2"/>
      <c r="K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</row>
    <row r="86" spans="2:91" x14ac:dyDescent="0.25">
      <c r="B86" s="2"/>
      <c r="C86" s="2"/>
      <c r="D86" s="2"/>
      <c r="H86" s="2"/>
      <c r="I86" s="9"/>
      <c r="J86" s="2"/>
      <c r="K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</row>
    <row r="87" spans="2:91" x14ac:dyDescent="0.25">
      <c r="B87" s="2"/>
      <c r="C87" s="2"/>
      <c r="D87" s="2"/>
      <c r="H87" s="2"/>
      <c r="I87" s="9"/>
      <c r="J87" s="2"/>
      <c r="K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</row>
    <row r="88" spans="2:91" x14ac:dyDescent="0.25">
      <c r="B88" s="2"/>
      <c r="C88" s="2"/>
      <c r="D88" s="2"/>
      <c r="H88" s="2"/>
      <c r="I88" s="9"/>
      <c r="J88" s="2"/>
      <c r="K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</row>
    <row r="89" spans="2:91" x14ac:dyDescent="0.25">
      <c r="B89" s="2"/>
      <c r="C89" s="2"/>
      <c r="D89" s="2"/>
      <c r="H89" s="2"/>
      <c r="I89" s="9"/>
      <c r="J89" s="2"/>
      <c r="K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</row>
    <row r="90" spans="2:91" x14ac:dyDescent="0.25">
      <c r="B90" s="2"/>
      <c r="C90" s="2"/>
      <c r="D90" s="2"/>
      <c r="H90" s="2"/>
      <c r="I90" s="9"/>
      <c r="J90" s="2"/>
      <c r="K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</row>
    <row r="91" spans="2:91" x14ac:dyDescent="0.25">
      <c r="B91" s="2"/>
      <c r="C91" s="2"/>
      <c r="D91" s="2"/>
      <c r="H91" s="2"/>
      <c r="I91" s="9"/>
      <c r="J91" s="2"/>
      <c r="K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</row>
    <row r="92" spans="2:91" x14ac:dyDescent="0.25">
      <c r="B92" s="2"/>
      <c r="C92" s="2"/>
      <c r="D92" s="2"/>
      <c r="H92" s="2"/>
      <c r="I92" s="9"/>
      <c r="J92" s="2"/>
      <c r="K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</row>
    <row r="93" spans="2:91" x14ac:dyDescent="0.25">
      <c r="B93" s="2"/>
      <c r="C93" s="2"/>
      <c r="D93" s="2"/>
      <c r="H93" s="2"/>
      <c r="I93" s="9"/>
      <c r="J93" s="2"/>
      <c r="K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</row>
    <row r="94" spans="2:91" x14ac:dyDescent="0.25">
      <c r="B94" s="2"/>
      <c r="C94" s="2"/>
      <c r="D94" s="2"/>
      <c r="H94" s="2"/>
      <c r="I94" s="9"/>
      <c r="J94" s="2"/>
      <c r="K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</row>
    <row r="95" spans="2:91" x14ac:dyDescent="0.25">
      <c r="B95" s="2"/>
      <c r="C95" s="2"/>
      <c r="D95" s="2"/>
      <c r="H95" s="2"/>
      <c r="I95" s="9"/>
      <c r="J95" s="2"/>
      <c r="K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</row>
    <row r="96" spans="2:91" x14ac:dyDescent="0.25">
      <c r="B96" s="2"/>
      <c r="C96" s="2"/>
      <c r="D96" s="2"/>
      <c r="H96" s="2"/>
      <c r="I96" s="9"/>
      <c r="J96" s="2"/>
      <c r="K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</row>
    <row r="97" spans="2:91" x14ac:dyDescent="0.25">
      <c r="B97" s="2"/>
      <c r="C97" s="2"/>
      <c r="D97" s="2"/>
      <c r="H97" s="2"/>
      <c r="I97" s="9"/>
      <c r="J97" s="2"/>
      <c r="K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</row>
    <row r="98" spans="2:91" x14ac:dyDescent="0.25">
      <c r="B98" s="2"/>
      <c r="C98" s="2"/>
      <c r="D98" s="2"/>
      <c r="H98" s="2"/>
      <c r="I98" s="9"/>
      <c r="J98" s="2"/>
      <c r="K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</row>
    <row r="99" spans="2:91" x14ac:dyDescent="0.25">
      <c r="B99" s="2"/>
      <c r="C99" s="2"/>
      <c r="D99" s="2"/>
      <c r="H99" s="2"/>
      <c r="I99" s="9"/>
      <c r="J99" s="2"/>
      <c r="K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</row>
    <row r="100" spans="2:91" x14ac:dyDescent="0.25">
      <c r="B100" s="2"/>
      <c r="C100" s="2"/>
      <c r="D100" s="2"/>
      <c r="H100" s="2"/>
      <c r="I100" s="9"/>
      <c r="J100" s="2"/>
      <c r="K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</row>
    <row r="101" spans="2:91" x14ac:dyDescent="0.25">
      <c r="B101" s="2"/>
      <c r="C101" s="2"/>
      <c r="D101" s="2"/>
      <c r="H101" s="2"/>
      <c r="I101" s="9"/>
      <c r="J101" s="2"/>
      <c r="K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</row>
    <row r="102" spans="2:91" x14ac:dyDescent="0.25">
      <c r="B102" s="2"/>
      <c r="C102" s="2"/>
      <c r="D102" s="2"/>
      <c r="H102" s="2"/>
      <c r="I102" s="9"/>
      <c r="J102" s="2"/>
      <c r="K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</row>
    <row r="103" spans="2:91" x14ac:dyDescent="0.25">
      <c r="B103" s="2"/>
      <c r="C103" s="2"/>
      <c r="D103" s="2"/>
      <c r="H103" s="2"/>
      <c r="I103" s="9"/>
      <c r="J103" s="2"/>
      <c r="K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</row>
    <row r="104" spans="2:91" x14ac:dyDescent="0.25">
      <c r="B104" s="2"/>
      <c r="C104" s="2"/>
      <c r="D104" s="2"/>
      <c r="H104" s="2"/>
      <c r="I104" s="9"/>
      <c r="J104" s="2"/>
      <c r="K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</row>
    <row r="105" spans="2:91" x14ac:dyDescent="0.25">
      <c r="B105" s="2"/>
      <c r="C105" s="2"/>
      <c r="D105" s="2"/>
      <c r="H105" s="2"/>
      <c r="I105" s="9"/>
      <c r="J105" s="2"/>
      <c r="K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</row>
    <row r="106" spans="2:91" x14ac:dyDescent="0.25">
      <c r="B106" s="2"/>
      <c r="C106" s="2"/>
      <c r="D106" s="2"/>
      <c r="H106" s="2"/>
      <c r="I106" s="9"/>
      <c r="J106" s="2"/>
      <c r="K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</row>
    <row r="107" spans="2:91" x14ac:dyDescent="0.25">
      <c r="B107" s="2"/>
      <c r="C107" s="2"/>
      <c r="D107" s="2"/>
      <c r="H107" s="2"/>
      <c r="I107" s="9"/>
      <c r="J107" s="2"/>
      <c r="K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</row>
    <row r="108" spans="2:91" x14ac:dyDescent="0.25">
      <c r="B108" s="2"/>
      <c r="C108" s="2"/>
      <c r="D108" s="2"/>
      <c r="H108" s="2"/>
      <c r="I108" s="9"/>
      <c r="J108" s="2"/>
      <c r="K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</row>
    <row r="109" spans="2:91" x14ac:dyDescent="0.25">
      <c r="B109" s="2"/>
      <c r="C109" s="2"/>
      <c r="D109" s="2"/>
      <c r="H109" s="2"/>
      <c r="I109" s="9"/>
      <c r="J109" s="2"/>
      <c r="K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</row>
    <row r="110" spans="2:91" x14ac:dyDescent="0.25">
      <c r="B110" s="2"/>
      <c r="C110" s="2"/>
      <c r="D110" s="2"/>
      <c r="H110" s="2"/>
      <c r="I110" s="9"/>
      <c r="J110" s="2"/>
      <c r="K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</row>
    <row r="111" spans="2:91" x14ac:dyDescent="0.25">
      <c r="B111" s="2"/>
      <c r="C111" s="2"/>
      <c r="D111" s="2"/>
      <c r="H111" s="2"/>
      <c r="I111" s="9"/>
      <c r="J111" s="2"/>
      <c r="K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</row>
    <row r="112" spans="2:91" x14ac:dyDescent="0.25">
      <c r="B112" s="2"/>
      <c r="C112" s="2"/>
      <c r="D112" s="2"/>
      <c r="H112" s="2"/>
      <c r="I112" s="9"/>
      <c r="J112" s="2"/>
      <c r="K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</row>
    <row r="113" spans="2:91" x14ac:dyDescent="0.25">
      <c r="B113" s="2"/>
      <c r="C113" s="2"/>
      <c r="D113" s="2"/>
      <c r="H113" s="2"/>
      <c r="I113" s="9"/>
      <c r="J113" s="2"/>
      <c r="K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</row>
    <row r="114" spans="2:91" x14ac:dyDescent="0.25">
      <c r="B114" s="2"/>
      <c r="C114" s="2"/>
      <c r="D114" s="2"/>
      <c r="H114" s="2"/>
      <c r="I114" s="9"/>
      <c r="J114" s="2"/>
      <c r="K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</row>
    <row r="115" spans="2:91" x14ac:dyDescent="0.25">
      <c r="B115" s="2"/>
      <c r="C115" s="2"/>
      <c r="D115" s="2"/>
      <c r="H115" s="2"/>
      <c r="I115" s="9"/>
      <c r="J115" s="2"/>
      <c r="K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</row>
    <row r="116" spans="2:91" x14ac:dyDescent="0.25">
      <c r="B116" s="2"/>
      <c r="C116" s="2"/>
      <c r="D116" s="2"/>
      <c r="H116" s="2"/>
      <c r="I116" s="9"/>
      <c r="J116" s="2"/>
      <c r="K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</row>
    <row r="117" spans="2:91" x14ac:dyDescent="0.25">
      <c r="B117" s="2"/>
      <c r="C117" s="2"/>
      <c r="D117" s="2"/>
      <c r="H117" s="2"/>
      <c r="I117" s="9"/>
      <c r="J117" s="2"/>
      <c r="K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</row>
    <row r="118" spans="2:91" x14ac:dyDescent="0.25">
      <c r="B118" s="2"/>
      <c r="C118" s="2"/>
      <c r="D118" s="2"/>
      <c r="H118" s="2"/>
      <c r="I118" s="9"/>
      <c r="J118" s="2"/>
      <c r="K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</row>
    <row r="119" spans="2:91" x14ac:dyDescent="0.25">
      <c r="B119" s="2"/>
      <c r="C119" s="2"/>
      <c r="D119" s="2"/>
      <c r="H119" s="2"/>
      <c r="I119" s="9"/>
      <c r="J119" s="2"/>
      <c r="K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</row>
    <row r="120" spans="2:91" x14ac:dyDescent="0.25">
      <c r="B120" s="2"/>
      <c r="C120" s="2"/>
      <c r="D120" s="2"/>
      <c r="H120" s="2"/>
      <c r="I120" s="9"/>
      <c r="J120" s="2"/>
      <c r="K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</row>
    <row r="121" spans="2:91" x14ac:dyDescent="0.25">
      <c r="B121" s="2"/>
      <c r="C121" s="2"/>
      <c r="D121" s="2"/>
      <c r="H121" s="2"/>
      <c r="I121" s="9"/>
      <c r="J121" s="2"/>
      <c r="K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</row>
    <row r="122" spans="2:91" x14ac:dyDescent="0.25">
      <c r="B122" s="2"/>
      <c r="C122" s="2"/>
      <c r="D122" s="2"/>
      <c r="H122" s="2"/>
      <c r="I122" s="9"/>
      <c r="J122" s="2"/>
      <c r="K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</row>
    <row r="123" spans="2:91" x14ac:dyDescent="0.25">
      <c r="B123" s="2"/>
      <c r="C123" s="2"/>
      <c r="D123" s="2"/>
      <c r="H123" s="2"/>
      <c r="I123" s="9"/>
      <c r="J123" s="2"/>
      <c r="K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</row>
    <row r="124" spans="2:91" x14ac:dyDescent="0.25">
      <c r="B124" s="2"/>
      <c r="C124" s="2"/>
      <c r="D124" s="2"/>
      <c r="H124" s="2"/>
      <c r="I124" s="9"/>
      <c r="J124" s="2"/>
      <c r="K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</row>
    <row r="125" spans="2:91" x14ac:dyDescent="0.25">
      <c r="B125" s="2"/>
      <c r="C125" s="2"/>
      <c r="D125" s="2"/>
      <c r="H125" s="2"/>
      <c r="I125" s="9"/>
      <c r="J125" s="2"/>
      <c r="K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</row>
    <row r="126" spans="2:91" x14ac:dyDescent="0.25">
      <c r="B126" s="2"/>
      <c r="C126" s="2"/>
      <c r="D126" s="2"/>
      <c r="H126" s="2"/>
      <c r="I126" s="9"/>
      <c r="J126" s="2"/>
      <c r="K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</row>
    <row r="127" spans="2:91" x14ac:dyDescent="0.25">
      <c r="B127" s="2"/>
      <c r="C127" s="2"/>
      <c r="D127" s="2"/>
      <c r="H127" s="2"/>
      <c r="I127" s="9"/>
      <c r="J127" s="2"/>
      <c r="K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</row>
    <row r="128" spans="2:91" x14ac:dyDescent="0.25">
      <c r="B128" s="2"/>
      <c r="C128" s="2"/>
      <c r="D128" s="2"/>
      <c r="H128" s="2"/>
      <c r="I128" s="9"/>
      <c r="J128" s="2"/>
      <c r="K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</row>
    <row r="129" spans="2:91" x14ac:dyDescent="0.25">
      <c r="B129" s="2"/>
      <c r="C129" s="2"/>
      <c r="D129" s="2"/>
      <c r="H129" s="2"/>
      <c r="I129" s="9"/>
      <c r="J129" s="2"/>
      <c r="K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</row>
    <row r="130" spans="2:91" x14ac:dyDescent="0.25">
      <c r="B130" s="2"/>
      <c r="C130" s="2"/>
      <c r="D130" s="2"/>
      <c r="H130" s="2"/>
      <c r="I130" s="9"/>
      <c r="J130" s="2"/>
      <c r="K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</row>
    <row r="131" spans="2:91" x14ac:dyDescent="0.25">
      <c r="B131" s="2"/>
      <c r="C131" s="2"/>
      <c r="D131" s="2"/>
      <c r="H131" s="2"/>
      <c r="I131" s="9"/>
      <c r="J131" s="2"/>
      <c r="K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</row>
    <row r="132" spans="2:91" x14ac:dyDescent="0.25">
      <c r="B132" s="2"/>
      <c r="C132" s="2"/>
      <c r="D132" s="2"/>
      <c r="H132" s="2"/>
      <c r="I132" s="9"/>
      <c r="J132" s="2"/>
      <c r="K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</row>
    <row r="133" spans="2:91" x14ac:dyDescent="0.25">
      <c r="B133" s="2"/>
      <c r="C133" s="2"/>
      <c r="D133" s="2"/>
      <c r="H133" s="2"/>
      <c r="I133" s="9"/>
      <c r="J133" s="2"/>
      <c r="K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</row>
    <row r="134" spans="2:91" x14ac:dyDescent="0.25">
      <c r="B134" s="2"/>
      <c r="C134" s="2"/>
      <c r="D134" s="2"/>
      <c r="H134" s="2"/>
      <c r="I134" s="9"/>
      <c r="J134" s="2"/>
      <c r="K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</row>
    <row r="135" spans="2:91" x14ac:dyDescent="0.25">
      <c r="B135" s="2"/>
      <c r="C135" s="2"/>
      <c r="D135" s="2"/>
      <c r="H135" s="2"/>
      <c r="I135" s="9"/>
      <c r="J135" s="2"/>
      <c r="K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</row>
    <row r="136" spans="2:91" x14ac:dyDescent="0.25">
      <c r="B136" s="2"/>
      <c r="C136" s="2"/>
      <c r="D136" s="2"/>
      <c r="H136" s="2"/>
      <c r="I136" s="9"/>
      <c r="J136" s="2"/>
      <c r="K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</row>
    <row r="137" spans="2:91" x14ac:dyDescent="0.25">
      <c r="B137" s="2"/>
      <c r="C137" s="2"/>
      <c r="D137" s="2"/>
      <c r="H137" s="2"/>
      <c r="I137" s="9"/>
      <c r="J137" s="2"/>
      <c r="K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</row>
    <row r="138" spans="2:91" x14ac:dyDescent="0.25">
      <c r="B138" s="2"/>
      <c r="C138" s="2"/>
      <c r="D138" s="2"/>
      <c r="H138" s="2"/>
      <c r="I138" s="9"/>
      <c r="J138" s="2"/>
      <c r="K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</row>
    <row r="139" spans="2:91" x14ac:dyDescent="0.25">
      <c r="B139" s="2"/>
      <c r="C139" s="2"/>
      <c r="D139" s="2"/>
      <c r="H139" s="2"/>
      <c r="I139" s="9"/>
      <c r="J139" s="2"/>
      <c r="K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</row>
    <row r="140" spans="2:91" x14ac:dyDescent="0.25">
      <c r="B140" s="2"/>
      <c r="C140" s="2"/>
      <c r="D140" s="2"/>
      <c r="H140" s="2"/>
      <c r="I140" s="9"/>
      <c r="J140" s="2"/>
      <c r="K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</row>
    <row r="141" spans="2:91" x14ac:dyDescent="0.25">
      <c r="B141" s="2"/>
      <c r="C141" s="2"/>
      <c r="D141" s="2"/>
      <c r="H141" s="2"/>
      <c r="I141" s="9"/>
      <c r="J141" s="2"/>
      <c r="K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</row>
    <row r="142" spans="2:91" x14ac:dyDescent="0.25">
      <c r="B142" s="2"/>
      <c r="C142" s="2"/>
      <c r="D142" s="2"/>
      <c r="H142" s="2"/>
      <c r="I142" s="9"/>
      <c r="J142" s="2"/>
      <c r="K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</row>
    <row r="143" spans="2:91" x14ac:dyDescent="0.25">
      <c r="B143" s="2"/>
      <c r="C143" s="2"/>
      <c r="D143" s="2"/>
      <c r="H143" s="2"/>
      <c r="I143" s="9"/>
      <c r="J143" s="2"/>
      <c r="K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</row>
    <row r="144" spans="2:91" x14ac:dyDescent="0.25">
      <c r="B144" s="2"/>
      <c r="C144" s="2"/>
      <c r="D144" s="2"/>
      <c r="H144" s="2"/>
      <c r="I144" s="9"/>
      <c r="J144" s="2"/>
      <c r="K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</row>
    <row r="145" spans="2:91" x14ac:dyDescent="0.25">
      <c r="B145" s="2"/>
      <c r="C145" s="2"/>
      <c r="D145" s="2"/>
      <c r="H145" s="2"/>
      <c r="I145" s="9"/>
      <c r="J145" s="2"/>
      <c r="K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</row>
    <row r="146" spans="2:91" x14ac:dyDescent="0.25">
      <c r="B146" s="2"/>
      <c r="C146" s="2"/>
      <c r="D146" s="2"/>
      <c r="H146" s="2"/>
      <c r="I146" s="9"/>
      <c r="J146" s="2"/>
      <c r="K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</row>
    <row r="147" spans="2:91" x14ac:dyDescent="0.25">
      <c r="B147" s="2"/>
      <c r="C147" s="2"/>
      <c r="D147" s="2"/>
      <c r="H147" s="2"/>
      <c r="I147" s="9"/>
      <c r="J147" s="2"/>
      <c r="K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</row>
    <row r="148" spans="2:91" x14ac:dyDescent="0.25">
      <c r="B148" s="2"/>
      <c r="C148" s="2"/>
      <c r="D148" s="2"/>
      <c r="H148" s="2"/>
      <c r="I148" s="9"/>
      <c r="J148" s="2"/>
      <c r="K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</row>
    <row r="149" spans="2:91" x14ac:dyDescent="0.25">
      <c r="B149" s="2"/>
      <c r="C149" s="2"/>
      <c r="D149" s="2"/>
      <c r="H149" s="2"/>
      <c r="I149" s="9"/>
      <c r="J149" s="2"/>
      <c r="K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</row>
    <row r="150" spans="2:91" x14ac:dyDescent="0.25">
      <c r="B150" s="2"/>
      <c r="C150" s="2"/>
      <c r="D150" s="2"/>
      <c r="H150" s="2"/>
      <c r="I150" s="9"/>
      <c r="J150" s="2"/>
      <c r="K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</row>
    <row r="151" spans="2:91" x14ac:dyDescent="0.25">
      <c r="B151" s="2"/>
      <c r="C151" s="2"/>
      <c r="D151" s="2"/>
      <c r="H151" s="2"/>
      <c r="I151" s="9"/>
      <c r="J151" s="2"/>
      <c r="K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</row>
    <row r="152" spans="2:91" x14ac:dyDescent="0.25">
      <c r="B152" s="2"/>
      <c r="C152" s="2"/>
      <c r="D152" s="2"/>
      <c r="H152" s="2"/>
      <c r="I152" s="9"/>
      <c r="J152" s="2"/>
      <c r="K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</row>
    <row r="153" spans="2:91" x14ac:dyDescent="0.25">
      <c r="B153" s="2"/>
      <c r="C153" s="2"/>
      <c r="D153" s="2"/>
      <c r="H153" s="2"/>
      <c r="I153" s="9"/>
      <c r="J153" s="2"/>
      <c r="K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</row>
    <row r="154" spans="2:91" x14ac:dyDescent="0.25">
      <c r="B154" s="2"/>
      <c r="C154" s="2"/>
      <c r="D154" s="2"/>
      <c r="H154" s="2"/>
      <c r="I154" s="9"/>
      <c r="J154" s="2"/>
      <c r="K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</row>
    <row r="155" spans="2:91" x14ac:dyDescent="0.25">
      <c r="B155" s="2"/>
      <c r="C155" s="2"/>
      <c r="D155" s="2"/>
      <c r="H155" s="2"/>
      <c r="I155" s="9"/>
      <c r="J155" s="2"/>
      <c r="K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</row>
    <row r="156" spans="2:91" x14ac:dyDescent="0.25">
      <c r="B156" s="2"/>
      <c r="C156" s="2"/>
      <c r="D156" s="2"/>
      <c r="H156" s="2"/>
      <c r="I156" s="9"/>
      <c r="J156" s="2"/>
      <c r="K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</row>
    <row r="157" spans="2:91" x14ac:dyDescent="0.25">
      <c r="B157" s="2"/>
      <c r="C157" s="2"/>
      <c r="D157" s="2"/>
      <c r="H157" s="2"/>
      <c r="I157" s="9"/>
      <c r="J157" s="2"/>
      <c r="K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</row>
    <row r="158" spans="2:91" x14ac:dyDescent="0.25">
      <c r="B158" s="2"/>
      <c r="C158" s="2"/>
      <c r="D158" s="2"/>
      <c r="H158" s="2"/>
      <c r="I158" s="9"/>
      <c r="J158" s="2"/>
      <c r="K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</row>
    <row r="159" spans="2:91" x14ac:dyDescent="0.25">
      <c r="B159" s="2"/>
      <c r="C159" s="2"/>
      <c r="D159" s="2"/>
      <c r="H159" s="2"/>
      <c r="I159" s="9"/>
      <c r="J159" s="2"/>
      <c r="K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</row>
    <row r="160" spans="2:91" x14ac:dyDescent="0.25">
      <c r="B160" s="2"/>
      <c r="C160" s="2"/>
      <c r="D160" s="2"/>
      <c r="H160" s="2"/>
      <c r="I160" s="9"/>
      <c r="J160" s="2"/>
      <c r="K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</row>
    <row r="161" spans="2:91" x14ac:dyDescent="0.25">
      <c r="B161" s="2"/>
      <c r="C161" s="2"/>
      <c r="D161" s="2"/>
      <c r="H161" s="2"/>
      <c r="I161" s="9"/>
      <c r="J161" s="2"/>
      <c r="K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</row>
    <row r="162" spans="2:91" x14ac:dyDescent="0.25">
      <c r="B162" s="2"/>
      <c r="C162" s="2"/>
      <c r="D162" s="2"/>
      <c r="H162" s="2"/>
      <c r="I162" s="9"/>
      <c r="J162" s="2"/>
      <c r="K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</row>
    <row r="163" spans="2:91" x14ac:dyDescent="0.25">
      <c r="B163" s="2"/>
      <c r="C163" s="2"/>
      <c r="D163" s="2"/>
      <c r="H163" s="2"/>
      <c r="I163" s="9"/>
      <c r="J163" s="2"/>
      <c r="K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</row>
    <row r="164" spans="2:91" x14ac:dyDescent="0.25">
      <c r="B164" s="2"/>
      <c r="C164" s="2"/>
      <c r="D164" s="2"/>
      <c r="H164" s="2"/>
      <c r="I164" s="9"/>
      <c r="J164" s="2"/>
      <c r="K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</row>
    <row r="165" spans="2:91" x14ac:dyDescent="0.25">
      <c r="B165" s="2"/>
      <c r="C165" s="2"/>
      <c r="D165" s="2"/>
      <c r="H165" s="2"/>
      <c r="I165" s="9"/>
      <c r="J165" s="2"/>
      <c r="K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</row>
    <row r="166" spans="2:91" x14ac:dyDescent="0.25">
      <c r="B166" s="2"/>
      <c r="C166" s="2"/>
      <c r="D166" s="2"/>
      <c r="H166" s="2"/>
      <c r="I166" s="9"/>
      <c r="J166" s="2"/>
      <c r="K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</row>
    <row r="167" spans="2:91" x14ac:dyDescent="0.25">
      <c r="B167" s="2"/>
      <c r="C167" s="2"/>
      <c r="D167" s="2"/>
      <c r="H167" s="2"/>
      <c r="I167" s="9"/>
      <c r="J167" s="2"/>
      <c r="K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</row>
    <row r="168" spans="2:91" x14ac:dyDescent="0.25">
      <c r="B168" s="2"/>
      <c r="C168" s="2"/>
      <c r="D168" s="2"/>
      <c r="H168" s="2"/>
      <c r="I168" s="9"/>
      <c r="J168" s="2"/>
      <c r="K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</row>
    <row r="169" spans="2:91" x14ac:dyDescent="0.25">
      <c r="B169" s="2"/>
      <c r="C169" s="2"/>
      <c r="D169" s="2"/>
      <c r="H169" s="2"/>
      <c r="I169" s="9"/>
      <c r="J169" s="2"/>
      <c r="K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</row>
    <row r="170" spans="2:91" x14ac:dyDescent="0.25">
      <c r="B170" s="2"/>
      <c r="C170" s="2"/>
      <c r="D170" s="2"/>
      <c r="H170" s="2"/>
      <c r="I170" s="9"/>
      <c r="J170" s="2"/>
      <c r="K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</row>
    <row r="171" spans="2:91" x14ac:dyDescent="0.25">
      <c r="B171" s="2"/>
      <c r="C171" s="2"/>
      <c r="D171" s="2"/>
      <c r="H171" s="2"/>
      <c r="I171" s="9"/>
      <c r="J171" s="2"/>
      <c r="K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</row>
    <row r="172" spans="2:91" x14ac:dyDescent="0.25">
      <c r="B172" s="2"/>
      <c r="C172" s="2"/>
      <c r="D172" s="2"/>
      <c r="H172" s="2"/>
      <c r="I172" s="9"/>
      <c r="J172" s="2"/>
      <c r="K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</row>
    <row r="173" spans="2:91" x14ac:dyDescent="0.25">
      <c r="B173" s="2"/>
      <c r="C173" s="2"/>
      <c r="D173" s="2"/>
      <c r="H173" s="2"/>
      <c r="I173" s="9"/>
      <c r="J173" s="2"/>
      <c r="K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</row>
    <row r="174" spans="2:91" x14ac:dyDescent="0.25">
      <c r="B174" s="2"/>
      <c r="C174" s="2"/>
      <c r="D174" s="2"/>
      <c r="H174" s="2"/>
      <c r="I174" s="9"/>
      <c r="J174" s="2"/>
      <c r="K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</row>
    <row r="175" spans="2:91" x14ac:dyDescent="0.25">
      <c r="B175" s="2"/>
      <c r="C175" s="2"/>
      <c r="D175" s="2"/>
      <c r="H175" s="2"/>
      <c r="I175" s="9"/>
      <c r="J175" s="2"/>
      <c r="K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</row>
    <row r="176" spans="2:91" x14ac:dyDescent="0.25">
      <c r="B176" s="2"/>
      <c r="C176" s="2"/>
      <c r="D176" s="2"/>
      <c r="H176" s="2"/>
      <c r="I176" s="9"/>
      <c r="J176" s="2"/>
      <c r="K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</row>
    <row r="177" spans="2:91" x14ac:dyDescent="0.25">
      <c r="B177" s="2"/>
      <c r="C177" s="2"/>
      <c r="D177" s="2"/>
      <c r="H177" s="2"/>
      <c r="I177" s="9"/>
      <c r="J177" s="2"/>
      <c r="K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</row>
    <row r="178" spans="2:91" x14ac:dyDescent="0.25">
      <c r="B178" s="2"/>
      <c r="C178" s="2"/>
      <c r="D178" s="2"/>
      <c r="H178" s="2"/>
      <c r="I178" s="9"/>
      <c r="J178" s="2"/>
      <c r="K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</row>
    <row r="179" spans="2:91" x14ac:dyDescent="0.25">
      <c r="B179" s="2"/>
      <c r="C179" s="2"/>
      <c r="D179" s="2"/>
      <c r="H179" s="2"/>
      <c r="I179" s="9"/>
      <c r="J179" s="2"/>
      <c r="K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</row>
    <row r="180" spans="2:91" x14ac:dyDescent="0.25">
      <c r="B180" s="2"/>
      <c r="C180" s="2"/>
      <c r="D180" s="2"/>
      <c r="H180" s="2"/>
      <c r="I180" s="9"/>
      <c r="J180" s="2"/>
      <c r="K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</row>
    <row r="181" spans="2:91" x14ac:dyDescent="0.25">
      <c r="B181" s="2"/>
      <c r="C181" s="2"/>
      <c r="D181" s="2"/>
      <c r="H181" s="2"/>
      <c r="I181" s="9"/>
      <c r="J181" s="2"/>
      <c r="K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</row>
    <row r="182" spans="2:91" x14ac:dyDescent="0.25">
      <c r="B182" s="2"/>
      <c r="C182" s="2"/>
      <c r="D182" s="2"/>
      <c r="H182" s="2"/>
      <c r="I182" s="9"/>
      <c r="J182" s="2"/>
      <c r="K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</row>
    <row r="183" spans="2:91" x14ac:dyDescent="0.25">
      <c r="B183" s="2"/>
      <c r="C183" s="2"/>
      <c r="D183" s="2"/>
      <c r="H183" s="2"/>
      <c r="I183" s="9"/>
      <c r="J183" s="2"/>
      <c r="K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</row>
    <row r="184" spans="2:91" x14ac:dyDescent="0.25">
      <c r="B184" s="2"/>
      <c r="C184" s="2"/>
      <c r="D184" s="2"/>
      <c r="H184" s="2"/>
      <c r="I184" s="9"/>
      <c r="J184" s="2"/>
      <c r="K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</row>
    <row r="185" spans="2:91" x14ac:dyDescent="0.25">
      <c r="B185" s="2"/>
      <c r="C185" s="2"/>
      <c r="D185" s="2"/>
      <c r="H185" s="2"/>
      <c r="I185" s="9"/>
      <c r="J185" s="2"/>
      <c r="K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</row>
    <row r="186" spans="2:91" x14ac:dyDescent="0.25">
      <c r="B186" s="2"/>
      <c r="C186" s="2"/>
      <c r="D186" s="2"/>
      <c r="H186" s="2"/>
      <c r="I186" s="9"/>
      <c r="J186" s="2"/>
      <c r="K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</row>
    <row r="187" spans="2:91" x14ac:dyDescent="0.25">
      <c r="B187" s="2"/>
      <c r="C187" s="2"/>
      <c r="D187" s="2"/>
      <c r="H187" s="2"/>
      <c r="I187" s="9"/>
      <c r="J187" s="2"/>
      <c r="K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</row>
    <row r="188" spans="2:91" x14ac:dyDescent="0.25">
      <c r="B188" s="2"/>
      <c r="C188" s="2"/>
      <c r="D188" s="2"/>
      <c r="H188" s="2"/>
      <c r="I188" s="9"/>
      <c r="J188" s="2"/>
      <c r="K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</row>
    <row r="189" spans="2:91" x14ac:dyDescent="0.25">
      <c r="B189" s="2"/>
      <c r="C189" s="2"/>
      <c r="D189" s="2"/>
      <c r="H189" s="2"/>
      <c r="I189" s="9"/>
      <c r="J189" s="2"/>
      <c r="K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</row>
    <row r="190" spans="2:91" x14ac:dyDescent="0.25">
      <c r="B190" s="2"/>
      <c r="C190" s="2"/>
      <c r="D190" s="2"/>
      <c r="H190" s="2"/>
      <c r="I190" s="9"/>
      <c r="J190" s="2"/>
      <c r="K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</row>
    <row r="191" spans="2:91" x14ac:dyDescent="0.25">
      <c r="B191" s="2"/>
      <c r="C191" s="2"/>
      <c r="D191" s="2"/>
      <c r="H191" s="2"/>
      <c r="I191" s="9"/>
      <c r="J191" s="2"/>
      <c r="K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</row>
    <row r="192" spans="2:91" x14ac:dyDescent="0.25">
      <c r="B192" s="2"/>
      <c r="C192" s="2"/>
      <c r="D192" s="2"/>
      <c r="H192" s="2"/>
      <c r="I192" s="9"/>
      <c r="J192" s="2"/>
      <c r="K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</row>
    <row r="193" spans="2:91" x14ac:dyDescent="0.25">
      <c r="B193" s="2"/>
      <c r="C193" s="2"/>
      <c r="D193" s="2"/>
      <c r="H193" s="2"/>
      <c r="I193" s="9"/>
      <c r="J193" s="2"/>
      <c r="K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</row>
    <row r="194" spans="2:91" x14ac:dyDescent="0.25">
      <c r="B194" s="2"/>
      <c r="C194" s="2"/>
      <c r="D194" s="2"/>
      <c r="H194" s="2"/>
      <c r="I194" s="9"/>
      <c r="J194" s="2"/>
      <c r="K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</row>
    <row r="195" spans="2:91" x14ac:dyDescent="0.25">
      <c r="B195" s="2"/>
      <c r="C195" s="2"/>
      <c r="D195" s="2"/>
      <c r="H195" s="2"/>
      <c r="I195" s="9"/>
      <c r="J195" s="2"/>
      <c r="K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</row>
    <row r="196" spans="2:91" x14ac:dyDescent="0.25">
      <c r="B196" s="2"/>
      <c r="C196" s="2"/>
      <c r="D196" s="2"/>
      <c r="H196" s="2"/>
      <c r="I196" s="9"/>
      <c r="J196" s="2"/>
      <c r="K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</row>
    <row r="197" spans="2:91" x14ac:dyDescent="0.25">
      <c r="B197" s="2"/>
      <c r="C197" s="2"/>
      <c r="D197" s="2"/>
      <c r="H197" s="2"/>
      <c r="I197" s="9"/>
      <c r="J197" s="2"/>
      <c r="K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</row>
    <row r="198" spans="2:91" x14ac:dyDescent="0.25">
      <c r="B198" s="2"/>
      <c r="C198" s="2"/>
      <c r="D198" s="2"/>
      <c r="H198" s="2"/>
      <c r="I198" s="9"/>
      <c r="J198" s="2"/>
      <c r="K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</row>
    <row r="199" spans="2:91" x14ac:dyDescent="0.25">
      <c r="B199" s="2"/>
      <c r="C199" s="2"/>
      <c r="D199" s="2"/>
      <c r="H199" s="2"/>
      <c r="I199" s="9"/>
      <c r="J199" s="2"/>
      <c r="K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</row>
    <row r="200" spans="2:91" x14ac:dyDescent="0.25">
      <c r="B200" s="2"/>
      <c r="C200" s="2"/>
      <c r="D200" s="2"/>
      <c r="H200" s="2"/>
      <c r="I200" s="9"/>
      <c r="J200" s="2"/>
      <c r="K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</row>
    <row r="201" spans="2:91" x14ac:dyDescent="0.25">
      <c r="B201" s="2"/>
      <c r="C201" s="2"/>
      <c r="D201" s="2"/>
      <c r="H201" s="2"/>
      <c r="I201" s="9"/>
      <c r="J201" s="2"/>
      <c r="K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</row>
    <row r="202" spans="2:91" x14ac:dyDescent="0.25">
      <c r="B202" s="2"/>
      <c r="C202" s="2"/>
      <c r="D202" s="2"/>
      <c r="H202" s="2"/>
      <c r="I202" s="9"/>
      <c r="J202" s="2"/>
      <c r="K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</row>
    <row r="203" spans="2:91" x14ac:dyDescent="0.25">
      <c r="B203" s="2"/>
      <c r="C203" s="2"/>
      <c r="D203" s="2"/>
      <c r="H203" s="2"/>
      <c r="I203" s="9"/>
      <c r="J203" s="2"/>
      <c r="K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</row>
    <row r="204" spans="2:91" x14ac:dyDescent="0.25">
      <c r="B204" s="2"/>
      <c r="C204" s="2"/>
      <c r="D204" s="2"/>
      <c r="H204" s="2"/>
      <c r="I204" s="9"/>
      <c r="J204" s="2"/>
      <c r="K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</row>
    <row r="205" spans="2:91" x14ac:dyDescent="0.25">
      <c r="B205" s="2"/>
      <c r="C205" s="2"/>
      <c r="D205" s="2"/>
      <c r="H205" s="2"/>
      <c r="I205" s="9"/>
      <c r="J205" s="2"/>
      <c r="K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</row>
    <row r="206" spans="2:91" x14ac:dyDescent="0.25">
      <c r="B206" s="2"/>
      <c r="C206" s="2"/>
      <c r="D206" s="2"/>
      <c r="H206" s="2"/>
      <c r="I206" s="9"/>
      <c r="J206" s="2"/>
      <c r="K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</row>
    <row r="207" spans="2:91" x14ac:dyDescent="0.25">
      <c r="B207" s="2"/>
      <c r="C207" s="2"/>
      <c r="D207" s="2"/>
      <c r="H207" s="2"/>
      <c r="I207" s="9"/>
      <c r="J207" s="2"/>
      <c r="K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</row>
    <row r="208" spans="2:91" x14ac:dyDescent="0.25">
      <c r="B208" s="2"/>
      <c r="C208" s="2"/>
      <c r="D208" s="2"/>
      <c r="H208" s="2"/>
      <c r="I208" s="9"/>
      <c r="J208" s="2"/>
      <c r="K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</row>
    <row r="209" spans="2:91" x14ac:dyDescent="0.25">
      <c r="B209" s="2"/>
      <c r="C209" s="2"/>
      <c r="D209" s="2"/>
      <c r="H209" s="2"/>
      <c r="I209" s="9"/>
      <c r="J209" s="2"/>
      <c r="K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</row>
    <row r="210" spans="2:91" x14ac:dyDescent="0.25">
      <c r="B210" s="2"/>
      <c r="C210" s="2"/>
      <c r="D210" s="2"/>
      <c r="H210" s="2"/>
      <c r="I210" s="9"/>
      <c r="J210" s="2"/>
      <c r="K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</row>
    <row r="211" spans="2:91" x14ac:dyDescent="0.25">
      <c r="B211" s="2"/>
      <c r="C211" s="2"/>
      <c r="D211" s="2"/>
      <c r="H211" s="2"/>
      <c r="I211" s="9"/>
      <c r="J211" s="2"/>
      <c r="K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</row>
    <row r="212" spans="2:91" x14ac:dyDescent="0.25">
      <c r="B212" s="2"/>
      <c r="C212" s="2"/>
      <c r="D212" s="2"/>
      <c r="H212" s="2"/>
      <c r="I212" s="9"/>
      <c r="J212" s="2"/>
      <c r="K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</row>
    <row r="213" spans="2:91" x14ac:dyDescent="0.25">
      <c r="B213" s="2"/>
      <c r="C213" s="2"/>
      <c r="D213" s="2"/>
      <c r="H213" s="2"/>
      <c r="I213" s="9"/>
      <c r="J213" s="2"/>
      <c r="K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</row>
    <row r="214" spans="2:91" x14ac:dyDescent="0.25">
      <c r="B214" s="2"/>
      <c r="C214" s="2"/>
      <c r="D214" s="2"/>
      <c r="H214" s="2"/>
      <c r="I214" s="9"/>
      <c r="J214" s="2"/>
      <c r="K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</row>
    <row r="215" spans="2:91" x14ac:dyDescent="0.25">
      <c r="B215" s="2"/>
      <c r="C215" s="2"/>
      <c r="D215" s="2"/>
      <c r="H215" s="2"/>
      <c r="I215" s="9"/>
      <c r="J215" s="2"/>
      <c r="K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</row>
    <row r="216" spans="2:91" x14ac:dyDescent="0.25">
      <c r="B216" s="2"/>
      <c r="C216" s="2"/>
      <c r="D216" s="2"/>
      <c r="H216" s="2"/>
      <c r="I216" s="9"/>
      <c r="J216" s="2"/>
      <c r="K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</row>
    <row r="217" spans="2:91" x14ac:dyDescent="0.25">
      <c r="B217" s="2"/>
      <c r="C217" s="2"/>
      <c r="D217" s="2"/>
      <c r="H217" s="2"/>
      <c r="I217" s="9"/>
      <c r="J217" s="2"/>
      <c r="K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</row>
    <row r="218" spans="2:91" x14ac:dyDescent="0.25">
      <c r="B218" s="2"/>
      <c r="C218" s="2"/>
      <c r="D218" s="2"/>
      <c r="H218" s="2"/>
      <c r="I218" s="9"/>
      <c r="J218" s="2"/>
      <c r="K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</row>
    <row r="219" spans="2:91" x14ac:dyDescent="0.25">
      <c r="B219" s="2"/>
      <c r="C219" s="2"/>
      <c r="D219" s="2"/>
      <c r="H219" s="2"/>
      <c r="I219" s="9"/>
      <c r="J219" s="2"/>
      <c r="K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</row>
    <row r="220" spans="2:91" x14ac:dyDescent="0.25">
      <c r="B220" s="2"/>
      <c r="C220" s="2"/>
      <c r="D220" s="2"/>
      <c r="H220" s="2"/>
      <c r="I220" s="9"/>
      <c r="J220" s="2"/>
      <c r="K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</row>
    <row r="221" spans="2:91" x14ac:dyDescent="0.25">
      <c r="B221" s="2"/>
      <c r="C221" s="2"/>
      <c r="D221" s="2"/>
      <c r="H221" s="2"/>
      <c r="I221" s="9"/>
      <c r="J221" s="2"/>
      <c r="K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</row>
    <row r="222" spans="2:91" x14ac:dyDescent="0.25">
      <c r="B222" s="2"/>
      <c r="C222" s="2"/>
      <c r="D222" s="2"/>
      <c r="H222" s="2"/>
      <c r="I222" s="9"/>
      <c r="J222" s="2"/>
      <c r="K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</row>
    <row r="223" spans="2:91" x14ac:dyDescent="0.25">
      <c r="B223" s="2"/>
      <c r="C223" s="2"/>
      <c r="D223" s="2"/>
      <c r="H223" s="2"/>
      <c r="I223" s="9"/>
      <c r="J223" s="2"/>
      <c r="K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</row>
    <row r="224" spans="2:91" x14ac:dyDescent="0.25">
      <c r="B224" s="2"/>
      <c r="C224" s="2"/>
      <c r="D224" s="2"/>
      <c r="H224" s="2"/>
      <c r="I224" s="9"/>
      <c r="J224" s="2"/>
      <c r="K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</row>
    <row r="225" spans="2:91" x14ac:dyDescent="0.25">
      <c r="B225" s="2"/>
      <c r="C225" s="2"/>
      <c r="D225" s="2"/>
      <c r="H225" s="2"/>
      <c r="I225" s="9"/>
      <c r="J225" s="2"/>
      <c r="K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</row>
    <row r="226" spans="2:91" x14ac:dyDescent="0.25">
      <c r="B226" s="2"/>
      <c r="C226" s="2"/>
      <c r="D226" s="2"/>
      <c r="H226" s="2"/>
      <c r="I226" s="9"/>
      <c r="J226" s="2"/>
      <c r="K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</row>
    <row r="227" spans="2:91" x14ac:dyDescent="0.25">
      <c r="B227" s="2"/>
      <c r="C227" s="2"/>
      <c r="D227" s="2"/>
      <c r="H227" s="2"/>
      <c r="I227" s="9"/>
      <c r="J227" s="2"/>
      <c r="K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</row>
    <row r="228" spans="2:91" x14ac:dyDescent="0.25">
      <c r="B228" s="2"/>
      <c r="C228" s="2"/>
      <c r="D228" s="2"/>
      <c r="H228" s="2"/>
      <c r="I228" s="9"/>
      <c r="J228" s="2"/>
      <c r="K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</row>
    <row r="229" spans="2:91" x14ac:dyDescent="0.25">
      <c r="B229" s="2"/>
      <c r="C229" s="2"/>
      <c r="D229" s="2"/>
      <c r="H229" s="2"/>
      <c r="I229" s="9"/>
      <c r="J229" s="2"/>
      <c r="K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</row>
    <row r="230" spans="2:91" x14ac:dyDescent="0.25">
      <c r="B230" s="2"/>
      <c r="C230" s="2"/>
      <c r="D230" s="2"/>
      <c r="H230" s="2"/>
      <c r="I230" s="9"/>
      <c r="J230" s="2"/>
      <c r="K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</row>
    <row r="231" spans="2:91" x14ac:dyDescent="0.25">
      <c r="B231" s="2"/>
      <c r="C231" s="2"/>
      <c r="D231" s="2"/>
      <c r="H231" s="2"/>
      <c r="I231" s="9"/>
      <c r="J231" s="2"/>
      <c r="K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</row>
    <row r="232" spans="2:91" x14ac:dyDescent="0.25">
      <c r="B232" s="2"/>
      <c r="C232" s="2"/>
      <c r="D232" s="2"/>
      <c r="H232" s="2"/>
      <c r="I232" s="9"/>
      <c r="J232" s="2"/>
      <c r="K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</row>
    <row r="233" spans="2:91" x14ac:dyDescent="0.25">
      <c r="B233" s="2"/>
      <c r="C233" s="2"/>
      <c r="D233" s="2"/>
      <c r="H233" s="2"/>
      <c r="I233" s="9"/>
      <c r="J233" s="2"/>
      <c r="K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</row>
    <row r="234" spans="2:91" x14ac:dyDescent="0.25">
      <c r="B234" s="2"/>
      <c r="C234" s="2"/>
      <c r="D234" s="2"/>
      <c r="H234" s="2"/>
      <c r="I234" s="9"/>
      <c r="J234" s="2"/>
      <c r="K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</row>
    <row r="235" spans="2:91" x14ac:dyDescent="0.25">
      <c r="B235" s="2"/>
      <c r="C235" s="2"/>
      <c r="D235" s="2"/>
      <c r="H235" s="2"/>
      <c r="I235" s="9"/>
      <c r="J235" s="2"/>
      <c r="K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</row>
    <row r="236" spans="2:91" x14ac:dyDescent="0.25">
      <c r="B236" s="2"/>
      <c r="C236" s="2"/>
      <c r="D236" s="2"/>
      <c r="H236" s="2"/>
      <c r="I236" s="9"/>
      <c r="J236" s="2"/>
      <c r="K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</row>
    <row r="237" spans="2:91" x14ac:dyDescent="0.25">
      <c r="B237" s="2"/>
      <c r="C237" s="2"/>
      <c r="D237" s="2"/>
      <c r="H237" s="2"/>
      <c r="I237" s="9"/>
      <c r="J237" s="2"/>
      <c r="K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</row>
    <row r="238" spans="2:91" x14ac:dyDescent="0.25">
      <c r="B238" s="2"/>
      <c r="C238" s="2"/>
      <c r="D238" s="2"/>
      <c r="H238" s="2"/>
      <c r="I238" s="9"/>
      <c r="J238" s="2"/>
      <c r="K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</row>
    <row r="239" spans="2:91" x14ac:dyDescent="0.25">
      <c r="B239" s="2"/>
      <c r="C239" s="2"/>
      <c r="D239" s="2"/>
      <c r="H239" s="2"/>
      <c r="I239" s="9"/>
      <c r="J239" s="2"/>
      <c r="K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</row>
    <row r="240" spans="2:91" x14ac:dyDescent="0.25">
      <c r="B240" s="2"/>
      <c r="C240" s="2"/>
      <c r="D240" s="2"/>
      <c r="H240" s="2"/>
      <c r="I240" s="9"/>
      <c r="J240" s="2"/>
      <c r="K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</row>
    <row r="241" spans="2:91" x14ac:dyDescent="0.25">
      <c r="B241" s="2"/>
      <c r="C241" s="2"/>
      <c r="D241" s="2"/>
      <c r="H241" s="2"/>
      <c r="I241" s="9"/>
      <c r="J241" s="2"/>
      <c r="K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</row>
    <row r="242" spans="2:91" x14ac:dyDescent="0.25">
      <c r="B242" s="2"/>
      <c r="C242" s="2"/>
      <c r="D242" s="2"/>
      <c r="H242" s="2"/>
      <c r="I242" s="9"/>
      <c r="J242" s="2"/>
      <c r="K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</row>
    <row r="243" spans="2:91" x14ac:dyDescent="0.25">
      <c r="B243" s="2"/>
      <c r="C243" s="2"/>
      <c r="D243" s="2"/>
      <c r="H243" s="2"/>
      <c r="I243" s="9"/>
      <c r="J243" s="2"/>
      <c r="K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</row>
    <row r="244" spans="2:91" x14ac:dyDescent="0.25">
      <c r="B244" s="2"/>
      <c r="C244" s="2"/>
      <c r="D244" s="2"/>
      <c r="H244" s="2"/>
      <c r="I244" s="9"/>
      <c r="J244" s="2"/>
      <c r="K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</row>
    <row r="245" spans="2:91" x14ac:dyDescent="0.25">
      <c r="B245" s="2"/>
      <c r="C245" s="2"/>
      <c r="D245" s="2"/>
      <c r="H245" s="2"/>
      <c r="I245" s="9"/>
      <c r="J245" s="2"/>
      <c r="K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</row>
    <row r="246" spans="2:91" x14ac:dyDescent="0.25">
      <c r="B246" s="2"/>
      <c r="C246" s="2"/>
      <c r="D246" s="2"/>
      <c r="H246" s="2"/>
      <c r="I246" s="9"/>
      <c r="J246" s="2"/>
      <c r="K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</row>
    <row r="247" spans="2:91" x14ac:dyDescent="0.25">
      <c r="B247" s="2"/>
      <c r="C247" s="2"/>
      <c r="D247" s="2"/>
      <c r="H247" s="2"/>
      <c r="I247" s="9"/>
      <c r="J247" s="2"/>
      <c r="K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</row>
    <row r="248" spans="2:91" x14ac:dyDescent="0.25">
      <c r="B248" s="2"/>
      <c r="C248" s="2"/>
      <c r="D248" s="2"/>
      <c r="H248" s="2"/>
      <c r="I248" s="9"/>
      <c r="J248" s="2"/>
      <c r="K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</row>
    <row r="249" spans="2:91" x14ac:dyDescent="0.25">
      <c r="B249" s="2"/>
      <c r="C249" s="2"/>
      <c r="D249" s="2"/>
      <c r="H249" s="2"/>
      <c r="I249" s="9"/>
      <c r="J249" s="2"/>
      <c r="K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</row>
    <row r="250" spans="2:91" x14ac:dyDescent="0.25">
      <c r="B250" s="2"/>
      <c r="C250" s="2"/>
      <c r="D250" s="2"/>
      <c r="H250" s="2"/>
      <c r="I250" s="9"/>
      <c r="J250" s="2"/>
      <c r="K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</row>
    <row r="251" spans="2:91" x14ac:dyDescent="0.25">
      <c r="B251" s="2"/>
      <c r="C251" s="2"/>
      <c r="D251" s="2"/>
      <c r="H251" s="2"/>
      <c r="I251" s="9"/>
      <c r="J251" s="2"/>
      <c r="K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</row>
    <row r="252" spans="2:91" x14ac:dyDescent="0.25">
      <c r="B252" s="2"/>
      <c r="C252" s="2"/>
      <c r="D252" s="2"/>
      <c r="H252" s="2"/>
      <c r="I252" s="9"/>
      <c r="J252" s="2"/>
      <c r="K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</row>
    <row r="253" spans="2:91" x14ac:dyDescent="0.25">
      <c r="B253" s="2"/>
      <c r="C253" s="2"/>
      <c r="D253" s="2"/>
      <c r="H253" s="2"/>
      <c r="I253" s="9"/>
      <c r="J253" s="2"/>
      <c r="K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</row>
    <row r="254" spans="2:91" x14ac:dyDescent="0.25">
      <c r="B254" s="2"/>
      <c r="C254" s="2"/>
      <c r="D254" s="2"/>
      <c r="H254" s="2"/>
      <c r="I254" s="9"/>
      <c r="J254" s="2"/>
      <c r="K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</row>
    <row r="255" spans="2:91" x14ac:dyDescent="0.25">
      <c r="B255" s="2"/>
      <c r="C255" s="2"/>
      <c r="D255" s="2"/>
      <c r="H255" s="2"/>
      <c r="I255" s="9"/>
      <c r="J255" s="2"/>
      <c r="K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</row>
    <row r="256" spans="2:91" x14ac:dyDescent="0.25">
      <c r="B256" s="2"/>
      <c r="C256" s="2"/>
      <c r="D256" s="2"/>
      <c r="H256" s="2"/>
      <c r="I256" s="9"/>
      <c r="J256" s="2"/>
      <c r="K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</row>
    <row r="257" spans="2:91" x14ac:dyDescent="0.25">
      <c r="B257" s="2"/>
      <c r="C257" s="2"/>
      <c r="D257" s="2"/>
      <c r="H257" s="2"/>
      <c r="I257" s="9"/>
      <c r="J257" s="2"/>
      <c r="K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</row>
    <row r="258" spans="2:91" x14ac:dyDescent="0.25">
      <c r="B258" s="2"/>
      <c r="C258" s="2"/>
      <c r="D258" s="2"/>
      <c r="H258" s="2"/>
      <c r="I258" s="9"/>
      <c r="J258" s="2"/>
      <c r="K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</row>
    <row r="259" spans="2:91" x14ac:dyDescent="0.25">
      <c r="B259" s="2"/>
      <c r="C259" s="2"/>
      <c r="D259" s="2"/>
      <c r="H259" s="2"/>
      <c r="I259" s="9"/>
      <c r="J259" s="2"/>
      <c r="K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</row>
    <row r="260" spans="2:91" x14ac:dyDescent="0.25">
      <c r="B260" s="2"/>
      <c r="C260" s="2"/>
      <c r="D260" s="2"/>
      <c r="H260" s="2"/>
      <c r="I260" s="9"/>
      <c r="J260" s="2"/>
      <c r="K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</row>
    <row r="261" spans="2:91" x14ac:dyDescent="0.25">
      <c r="B261" s="2"/>
      <c r="C261" s="2"/>
      <c r="D261" s="2"/>
      <c r="H261" s="2"/>
      <c r="I261" s="9"/>
      <c r="J261" s="2"/>
      <c r="K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</row>
    <row r="262" spans="2:91" x14ac:dyDescent="0.25">
      <c r="B262" s="2"/>
      <c r="C262" s="2"/>
      <c r="D262" s="2"/>
      <c r="H262" s="2"/>
      <c r="I262" s="9"/>
      <c r="J262" s="2"/>
      <c r="K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</row>
    <row r="263" spans="2:91" x14ac:dyDescent="0.25">
      <c r="B263" s="2"/>
      <c r="C263" s="2"/>
      <c r="D263" s="2"/>
      <c r="H263" s="2"/>
      <c r="I263" s="9"/>
      <c r="J263" s="2"/>
      <c r="K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</row>
    <row r="264" spans="2:91" x14ac:dyDescent="0.25">
      <c r="B264" s="2"/>
      <c r="C264" s="2"/>
      <c r="D264" s="2"/>
      <c r="H264" s="2"/>
      <c r="I264" s="9"/>
      <c r="J264" s="2"/>
      <c r="K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</row>
    <row r="265" spans="2:91" x14ac:dyDescent="0.25">
      <c r="B265" s="2"/>
      <c r="C265" s="2"/>
      <c r="D265" s="2"/>
      <c r="H265" s="2"/>
      <c r="I265" s="9"/>
      <c r="J265" s="2"/>
      <c r="K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</row>
    <row r="266" spans="2:91" x14ac:dyDescent="0.25">
      <c r="B266" s="2"/>
      <c r="C266" s="2"/>
      <c r="D266" s="2"/>
      <c r="H266" s="2"/>
      <c r="I266" s="9"/>
      <c r="J266" s="2"/>
      <c r="K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</row>
    <row r="267" spans="2:91" x14ac:dyDescent="0.25">
      <c r="B267" s="2"/>
      <c r="C267" s="2"/>
      <c r="D267" s="2"/>
      <c r="H267" s="2"/>
      <c r="I267" s="9"/>
      <c r="J267" s="2"/>
      <c r="K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</row>
    <row r="268" spans="2:91" x14ac:dyDescent="0.25">
      <c r="B268" s="2"/>
      <c r="C268" s="2"/>
      <c r="D268" s="2"/>
      <c r="H268" s="2"/>
      <c r="I268" s="9"/>
      <c r="J268" s="2"/>
      <c r="K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</row>
    <row r="269" spans="2:91" x14ac:dyDescent="0.25">
      <c r="B269" s="2"/>
      <c r="C269" s="2"/>
      <c r="D269" s="2"/>
      <c r="H269" s="2"/>
      <c r="I269" s="9"/>
      <c r="J269" s="2"/>
      <c r="K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</row>
    <row r="270" spans="2:91" x14ac:dyDescent="0.25">
      <c r="B270" s="2"/>
      <c r="C270" s="2"/>
      <c r="D270" s="2"/>
      <c r="H270" s="2"/>
      <c r="I270" s="9"/>
      <c r="J270" s="2"/>
      <c r="K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</row>
    <row r="271" spans="2:91" x14ac:dyDescent="0.25">
      <c r="B271" s="2"/>
      <c r="C271" s="2"/>
      <c r="D271" s="2"/>
      <c r="H271" s="2"/>
      <c r="I271" s="9"/>
      <c r="J271" s="2"/>
      <c r="K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</row>
    <row r="272" spans="2:91" x14ac:dyDescent="0.25">
      <c r="B272" s="2"/>
      <c r="C272" s="2"/>
      <c r="D272" s="2"/>
      <c r="H272" s="2"/>
      <c r="I272" s="9"/>
      <c r="J272" s="2"/>
      <c r="K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</row>
    <row r="273" spans="2:91" x14ac:dyDescent="0.25">
      <c r="B273" s="2"/>
      <c r="C273" s="2"/>
      <c r="D273" s="2"/>
      <c r="H273" s="2"/>
      <c r="I273" s="9"/>
      <c r="J273" s="2"/>
      <c r="K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</row>
    <row r="274" spans="2:91" x14ac:dyDescent="0.25">
      <c r="B274" s="2"/>
      <c r="C274" s="2"/>
      <c r="D274" s="2"/>
      <c r="H274" s="2"/>
      <c r="I274" s="9"/>
      <c r="J274" s="2"/>
      <c r="K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</row>
    <row r="275" spans="2:91" x14ac:dyDescent="0.25">
      <c r="B275" s="2"/>
      <c r="C275" s="2"/>
      <c r="D275" s="2"/>
      <c r="H275" s="2"/>
      <c r="I275" s="9"/>
      <c r="J275" s="2"/>
      <c r="K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</row>
    <row r="276" spans="2:91" x14ac:dyDescent="0.25">
      <c r="B276" s="2"/>
      <c r="C276" s="2"/>
      <c r="D276" s="2"/>
      <c r="H276" s="2"/>
      <c r="I276" s="9"/>
      <c r="J276" s="2"/>
      <c r="K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</row>
    <row r="277" spans="2:91" x14ac:dyDescent="0.25">
      <c r="B277" s="2"/>
      <c r="C277" s="2"/>
      <c r="D277" s="2"/>
      <c r="H277" s="2"/>
      <c r="I277" s="9"/>
      <c r="J277" s="2"/>
      <c r="K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</row>
    <row r="278" spans="2:91" x14ac:dyDescent="0.25">
      <c r="B278" s="2"/>
      <c r="C278" s="2"/>
      <c r="D278" s="2"/>
      <c r="H278" s="2"/>
      <c r="I278" s="9"/>
      <c r="J278" s="2"/>
      <c r="K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</row>
    <row r="279" spans="2:91" x14ac:dyDescent="0.25">
      <c r="B279" s="2"/>
      <c r="C279" s="2"/>
      <c r="D279" s="2"/>
      <c r="H279" s="2"/>
      <c r="I279" s="9"/>
      <c r="J279" s="2"/>
      <c r="K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</row>
    <row r="280" spans="2:91" x14ac:dyDescent="0.25">
      <c r="B280" s="2"/>
      <c r="C280" s="2"/>
      <c r="D280" s="2"/>
      <c r="H280" s="2"/>
      <c r="I280" s="9"/>
      <c r="J280" s="2"/>
      <c r="K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</row>
    <row r="281" spans="2:91" x14ac:dyDescent="0.25">
      <c r="B281" s="2"/>
      <c r="C281" s="2"/>
      <c r="D281" s="2"/>
      <c r="H281" s="2"/>
      <c r="I281" s="9"/>
      <c r="J281" s="2"/>
      <c r="K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</row>
    <row r="282" spans="2:91" x14ac:dyDescent="0.25">
      <c r="B282" s="2"/>
      <c r="C282" s="2"/>
      <c r="D282" s="2"/>
      <c r="H282" s="2"/>
      <c r="I282" s="9"/>
      <c r="J282" s="2"/>
      <c r="K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</row>
    <row r="283" spans="2:91" x14ac:dyDescent="0.25">
      <c r="B283" s="2"/>
      <c r="C283" s="2"/>
      <c r="D283" s="2"/>
      <c r="H283" s="2"/>
      <c r="I283" s="9"/>
      <c r="J283" s="2"/>
      <c r="K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</row>
    <row r="284" spans="2:91" x14ac:dyDescent="0.25">
      <c r="B284" s="2"/>
      <c r="C284" s="2"/>
      <c r="D284" s="2"/>
      <c r="H284" s="2"/>
      <c r="I284" s="9"/>
      <c r="J284" s="2"/>
      <c r="K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</row>
    <row r="285" spans="2:91" x14ac:dyDescent="0.25">
      <c r="B285" s="2"/>
      <c r="C285" s="2"/>
      <c r="D285" s="2"/>
      <c r="H285" s="2"/>
      <c r="I285" s="9"/>
      <c r="J285" s="2"/>
      <c r="K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</row>
    <row r="286" spans="2:91" x14ac:dyDescent="0.25">
      <c r="B286" s="2"/>
      <c r="C286" s="2"/>
      <c r="D286" s="2"/>
      <c r="H286" s="2"/>
      <c r="I286" s="9"/>
      <c r="J286" s="2"/>
      <c r="K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</row>
    <row r="287" spans="2:91" x14ac:dyDescent="0.25">
      <c r="B287" s="2"/>
      <c r="C287" s="2"/>
      <c r="D287" s="2"/>
      <c r="H287" s="2"/>
      <c r="I287" s="9"/>
      <c r="J287" s="2"/>
      <c r="K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</row>
    <row r="288" spans="2:91" x14ac:dyDescent="0.25">
      <c r="B288" s="2"/>
      <c r="C288" s="2"/>
      <c r="D288" s="2"/>
      <c r="H288" s="2"/>
      <c r="I288" s="9"/>
      <c r="J288" s="2"/>
      <c r="K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</row>
    <row r="289" spans="2:91" x14ac:dyDescent="0.25">
      <c r="B289" s="2"/>
      <c r="C289" s="2"/>
      <c r="D289" s="2"/>
      <c r="H289" s="2"/>
      <c r="I289" s="9"/>
      <c r="J289" s="2"/>
      <c r="K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</row>
    <row r="290" spans="2:91" x14ac:dyDescent="0.25">
      <c r="B290" s="2"/>
      <c r="C290" s="2"/>
      <c r="D290" s="2"/>
      <c r="H290" s="2"/>
      <c r="I290" s="9"/>
      <c r="J290" s="2"/>
      <c r="K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</row>
    <row r="291" spans="2:91" x14ac:dyDescent="0.25">
      <c r="B291" s="2"/>
      <c r="C291" s="2"/>
      <c r="D291" s="2"/>
      <c r="H291" s="2"/>
      <c r="I291" s="9"/>
      <c r="J291" s="2"/>
      <c r="K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</row>
    <row r="292" spans="2:91" x14ac:dyDescent="0.25">
      <c r="B292" s="2"/>
      <c r="C292" s="2"/>
      <c r="D292" s="2"/>
      <c r="H292" s="2"/>
      <c r="I292" s="9"/>
      <c r="J292" s="2"/>
      <c r="K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</row>
    <row r="293" spans="2:91" x14ac:dyDescent="0.25">
      <c r="B293" s="2"/>
      <c r="C293" s="2"/>
      <c r="D293" s="2"/>
      <c r="H293" s="2"/>
      <c r="I293" s="9"/>
      <c r="J293" s="2"/>
      <c r="K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</row>
    <row r="294" spans="2:91" x14ac:dyDescent="0.25">
      <c r="B294" s="2"/>
      <c r="C294" s="2"/>
      <c r="D294" s="2"/>
      <c r="H294" s="2"/>
      <c r="I294" s="9"/>
      <c r="J294" s="2"/>
      <c r="K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</row>
    <row r="295" spans="2:91" x14ac:dyDescent="0.25">
      <c r="B295" s="2"/>
      <c r="C295" s="2"/>
      <c r="D295" s="2"/>
      <c r="H295" s="2"/>
      <c r="I295" s="9"/>
      <c r="J295" s="2"/>
      <c r="K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</row>
    <row r="296" spans="2:91" x14ac:dyDescent="0.25">
      <c r="B296" s="2"/>
      <c r="C296" s="2"/>
      <c r="D296" s="2"/>
      <c r="H296" s="2"/>
      <c r="I296" s="9"/>
      <c r="J296" s="2"/>
      <c r="K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</row>
    <row r="297" spans="2:91" x14ac:dyDescent="0.25">
      <c r="B297" s="2"/>
      <c r="C297" s="2"/>
      <c r="D297" s="2"/>
      <c r="H297" s="2"/>
      <c r="I297" s="9"/>
      <c r="J297" s="2"/>
      <c r="K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</row>
    <row r="298" spans="2:91" x14ac:dyDescent="0.25">
      <c r="B298" s="2"/>
      <c r="C298" s="2"/>
      <c r="D298" s="2"/>
      <c r="H298" s="2"/>
      <c r="I298" s="9"/>
      <c r="J298" s="2"/>
      <c r="K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</row>
    <row r="299" spans="2:91" x14ac:dyDescent="0.25">
      <c r="B299" s="2"/>
      <c r="C299" s="2"/>
      <c r="D299" s="2"/>
      <c r="H299" s="2"/>
      <c r="I299" s="9"/>
      <c r="J299" s="2"/>
      <c r="K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</row>
    <row r="300" spans="2:91" x14ac:dyDescent="0.25">
      <c r="B300" s="2"/>
      <c r="C300" s="2"/>
      <c r="D300" s="2"/>
      <c r="H300" s="2"/>
      <c r="I300" s="9"/>
      <c r="J300" s="2"/>
      <c r="K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</row>
    <row r="301" spans="2:91" x14ac:dyDescent="0.25">
      <c r="B301" s="2"/>
      <c r="C301" s="2"/>
      <c r="D301" s="2"/>
      <c r="H301" s="2"/>
      <c r="I301" s="9"/>
      <c r="J301" s="2"/>
      <c r="K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</row>
    <row r="302" spans="2:91" x14ac:dyDescent="0.25">
      <c r="B302" s="2"/>
      <c r="C302" s="2"/>
      <c r="D302" s="2"/>
      <c r="H302" s="2"/>
      <c r="I302" s="9"/>
      <c r="J302" s="2"/>
      <c r="K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</row>
    <row r="303" spans="2:91" x14ac:dyDescent="0.25">
      <c r="B303" s="2"/>
      <c r="C303" s="2"/>
      <c r="D303" s="2"/>
      <c r="H303" s="2"/>
      <c r="I303" s="9"/>
      <c r="J303" s="2"/>
      <c r="K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</row>
    <row r="304" spans="2:91" x14ac:dyDescent="0.25">
      <c r="B304" s="2"/>
      <c r="C304" s="2"/>
      <c r="D304" s="2"/>
      <c r="H304" s="2"/>
      <c r="I304" s="9"/>
      <c r="J304" s="2"/>
      <c r="K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</row>
    <row r="305" spans="2:91" x14ac:dyDescent="0.25">
      <c r="B305" s="2"/>
      <c r="C305" s="2"/>
      <c r="D305" s="2"/>
      <c r="H305" s="2"/>
      <c r="I305" s="9"/>
      <c r="J305" s="2"/>
      <c r="K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</row>
    <row r="306" spans="2:91" x14ac:dyDescent="0.25">
      <c r="B306" s="2"/>
      <c r="C306" s="2"/>
      <c r="D306" s="2"/>
      <c r="H306" s="2"/>
      <c r="I306" s="9"/>
      <c r="J306" s="2"/>
      <c r="K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</row>
    <row r="307" spans="2:91" x14ac:dyDescent="0.25">
      <c r="B307" s="2"/>
      <c r="C307" s="2"/>
      <c r="D307" s="2"/>
      <c r="H307" s="2"/>
      <c r="I307" s="9"/>
      <c r="J307" s="2"/>
      <c r="K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</row>
    <row r="308" spans="2:91" x14ac:dyDescent="0.25">
      <c r="B308" s="2"/>
      <c r="C308" s="2"/>
      <c r="D308" s="2"/>
      <c r="H308" s="2"/>
      <c r="I308" s="9"/>
      <c r="J308" s="2"/>
      <c r="K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</row>
    <row r="309" spans="2:91" x14ac:dyDescent="0.25">
      <c r="B309" s="2"/>
      <c r="C309" s="2"/>
      <c r="D309" s="2"/>
      <c r="H309" s="2"/>
      <c r="I309" s="9"/>
      <c r="J309" s="2"/>
      <c r="K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</row>
    <row r="310" spans="2:91" x14ac:dyDescent="0.25">
      <c r="B310" s="2"/>
      <c r="C310" s="2"/>
      <c r="D310" s="2"/>
      <c r="H310" s="2"/>
      <c r="I310" s="9"/>
      <c r="J310" s="2"/>
      <c r="K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</row>
    <row r="311" spans="2:91" x14ac:dyDescent="0.25">
      <c r="B311" s="2"/>
      <c r="C311" s="2"/>
      <c r="D311" s="2"/>
      <c r="H311" s="2"/>
      <c r="I311" s="9"/>
      <c r="J311" s="2"/>
      <c r="K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</row>
    <row r="312" spans="2:91" x14ac:dyDescent="0.25">
      <c r="B312" s="2"/>
      <c r="C312" s="2"/>
      <c r="D312" s="2"/>
      <c r="H312" s="2"/>
      <c r="I312" s="9"/>
      <c r="J312" s="2"/>
      <c r="K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</row>
    <row r="313" spans="2:91" x14ac:dyDescent="0.25">
      <c r="B313" s="2"/>
      <c r="C313" s="2"/>
      <c r="D313" s="2"/>
      <c r="H313" s="2"/>
      <c r="I313" s="9"/>
      <c r="J313" s="2"/>
      <c r="K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</row>
    <row r="314" spans="2:91" x14ac:dyDescent="0.25">
      <c r="B314" s="2"/>
      <c r="C314" s="2"/>
      <c r="D314" s="2"/>
      <c r="H314" s="2"/>
      <c r="I314" s="9"/>
      <c r="J314" s="2"/>
      <c r="K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</row>
    <row r="315" spans="2:91" x14ac:dyDescent="0.25">
      <c r="B315" s="2"/>
      <c r="C315" s="2"/>
      <c r="D315" s="2"/>
      <c r="H315" s="2"/>
      <c r="I315" s="9"/>
      <c r="J315" s="2"/>
      <c r="K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</row>
    <row r="316" spans="2:91" x14ac:dyDescent="0.25">
      <c r="B316" s="2"/>
      <c r="C316" s="2"/>
      <c r="D316" s="2"/>
      <c r="H316" s="2"/>
      <c r="I316" s="9"/>
      <c r="J316" s="2"/>
      <c r="K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</row>
    <row r="317" spans="2:91" x14ac:dyDescent="0.25">
      <c r="B317" s="2"/>
      <c r="C317" s="2"/>
      <c r="D317" s="2"/>
      <c r="H317" s="2"/>
      <c r="I317" s="9"/>
      <c r="J317" s="2"/>
      <c r="K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</row>
    <row r="318" spans="2:91" x14ac:dyDescent="0.25">
      <c r="B318" s="2"/>
      <c r="C318" s="2"/>
      <c r="D318" s="2"/>
      <c r="H318" s="2"/>
      <c r="I318" s="9"/>
      <c r="J318" s="2"/>
      <c r="K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</row>
    <row r="319" spans="2:91" x14ac:dyDescent="0.25">
      <c r="B319" s="2"/>
      <c r="C319" s="2"/>
      <c r="D319" s="2"/>
      <c r="H319" s="2"/>
      <c r="I319" s="9"/>
      <c r="J319" s="2"/>
      <c r="K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</row>
    <row r="320" spans="2:91" x14ac:dyDescent="0.25">
      <c r="B320" s="2"/>
      <c r="C320" s="2"/>
      <c r="D320" s="2"/>
      <c r="H320" s="2"/>
      <c r="I320" s="9"/>
      <c r="J320" s="2"/>
      <c r="K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</row>
    <row r="321" spans="2:91" x14ac:dyDescent="0.25">
      <c r="B321" s="2"/>
      <c r="C321" s="2"/>
      <c r="D321" s="2"/>
      <c r="H321" s="2"/>
      <c r="I321" s="9"/>
      <c r="J321" s="2"/>
      <c r="K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</row>
    <row r="322" spans="2:91" x14ac:dyDescent="0.25">
      <c r="B322" s="2"/>
      <c r="C322" s="2"/>
      <c r="D322" s="2"/>
      <c r="H322" s="2"/>
      <c r="I322" s="9"/>
      <c r="J322" s="2"/>
      <c r="K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</row>
    <row r="323" spans="2:91" x14ac:dyDescent="0.25">
      <c r="B323" s="2"/>
      <c r="C323" s="2"/>
      <c r="D323" s="2"/>
      <c r="H323" s="2"/>
      <c r="I323" s="9"/>
      <c r="J323" s="2"/>
      <c r="K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</row>
    <row r="324" spans="2:91" x14ac:dyDescent="0.25">
      <c r="B324" s="2"/>
      <c r="C324" s="2"/>
      <c r="D324" s="2"/>
      <c r="H324" s="2"/>
      <c r="I324" s="9"/>
      <c r="J324" s="2"/>
      <c r="K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</row>
    <row r="325" spans="2:91" x14ac:dyDescent="0.25">
      <c r="B325" s="2"/>
      <c r="C325" s="2"/>
      <c r="D325" s="2"/>
      <c r="H325" s="2"/>
      <c r="I325" s="9"/>
      <c r="J325" s="2"/>
      <c r="K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</row>
    <row r="326" spans="2:91" x14ac:dyDescent="0.25">
      <c r="B326" s="2"/>
      <c r="C326" s="2"/>
      <c r="D326" s="2"/>
      <c r="H326" s="2"/>
      <c r="I326" s="9"/>
      <c r="J326" s="2"/>
      <c r="K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</row>
    <row r="327" spans="2:91" x14ac:dyDescent="0.25">
      <c r="B327" s="2"/>
      <c r="C327" s="2"/>
      <c r="D327" s="2"/>
      <c r="H327" s="2"/>
      <c r="I327" s="9"/>
      <c r="J327" s="2"/>
      <c r="K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</row>
    <row r="328" spans="2:91" x14ac:dyDescent="0.25">
      <c r="B328" s="2"/>
      <c r="C328" s="2"/>
      <c r="D328" s="2"/>
      <c r="H328" s="2"/>
      <c r="I328" s="9"/>
      <c r="J328" s="2"/>
      <c r="K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</row>
    <row r="329" spans="2:91" x14ac:dyDescent="0.25">
      <c r="B329" s="2"/>
      <c r="C329" s="2"/>
      <c r="D329" s="2"/>
      <c r="H329" s="2"/>
      <c r="I329" s="9"/>
      <c r="J329" s="2"/>
      <c r="K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</row>
    <row r="330" spans="2:91" x14ac:dyDescent="0.25">
      <c r="B330" s="2"/>
      <c r="C330" s="2"/>
      <c r="D330" s="2"/>
      <c r="H330" s="2"/>
      <c r="I330" s="9"/>
      <c r="J330" s="2"/>
      <c r="K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</row>
    <row r="331" spans="2:91" x14ac:dyDescent="0.25">
      <c r="B331" s="2"/>
      <c r="C331" s="2"/>
      <c r="D331" s="2"/>
      <c r="H331" s="2"/>
      <c r="I331" s="9"/>
      <c r="J331" s="2"/>
      <c r="K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</row>
    <row r="332" spans="2:91" x14ac:dyDescent="0.25">
      <c r="B332" s="2"/>
      <c r="C332" s="2"/>
      <c r="D332" s="2"/>
      <c r="H332" s="2"/>
      <c r="I332" s="9"/>
      <c r="J332" s="2"/>
      <c r="K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</row>
    <row r="333" spans="2:91" x14ac:dyDescent="0.25">
      <c r="B333" s="2"/>
      <c r="C333" s="2"/>
      <c r="D333" s="2"/>
      <c r="H333" s="2"/>
      <c r="I333" s="9"/>
      <c r="J333" s="2"/>
      <c r="K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</row>
    <row r="334" spans="2:91" x14ac:dyDescent="0.25">
      <c r="B334" s="2"/>
      <c r="C334" s="2"/>
      <c r="D334" s="2"/>
      <c r="H334" s="2"/>
      <c r="I334" s="9"/>
      <c r="J334" s="2"/>
      <c r="K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</row>
    <row r="335" spans="2:91" x14ac:dyDescent="0.25">
      <c r="B335" s="2"/>
      <c r="C335" s="2"/>
      <c r="D335" s="2"/>
      <c r="H335" s="2"/>
      <c r="I335" s="9"/>
      <c r="J335" s="2"/>
      <c r="K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</row>
    <row r="336" spans="2:91" x14ac:dyDescent="0.25">
      <c r="B336" s="2"/>
      <c r="C336" s="2"/>
      <c r="D336" s="2"/>
      <c r="H336" s="2"/>
      <c r="I336" s="9"/>
      <c r="J336" s="2"/>
      <c r="K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</row>
    <row r="337" spans="2:91" x14ac:dyDescent="0.25">
      <c r="B337" s="2"/>
      <c r="C337" s="2"/>
      <c r="D337" s="2"/>
      <c r="H337" s="2"/>
      <c r="I337" s="9"/>
      <c r="J337" s="2"/>
      <c r="K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</row>
    <row r="338" spans="2:91" x14ac:dyDescent="0.25">
      <c r="B338" s="2"/>
      <c r="C338" s="2"/>
      <c r="D338" s="2"/>
      <c r="H338" s="2"/>
      <c r="I338" s="9"/>
      <c r="J338" s="2"/>
      <c r="K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</row>
    <row r="339" spans="2:91" x14ac:dyDescent="0.25">
      <c r="B339" s="2"/>
      <c r="C339" s="2"/>
      <c r="D339" s="2"/>
      <c r="H339" s="2"/>
      <c r="I339" s="9"/>
      <c r="J339" s="2"/>
      <c r="K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</row>
    <row r="340" spans="2:91" x14ac:dyDescent="0.25">
      <c r="B340" s="2"/>
      <c r="C340" s="2"/>
      <c r="D340" s="2"/>
      <c r="H340" s="2"/>
      <c r="I340" s="9"/>
      <c r="J340" s="2"/>
      <c r="K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</row>
    <row r="341" spans="2:91" x14ac:dyDescent="0.25">
      <c r="B341" s="2"/>
      <c r="C341" s="2"/>
      <c r="D341" s="2"/>
      <c r="H341" s="2"/>
      <c r="I341" s="9"/>
      <c r="J341" s="2"/>
      <c r="K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</row>
    <row r="342" spans="2:91" x14ac:dyDescent="0.25">
      <c r="B342" s="2"/>
      <c r="C342" s="2"/>
      <c r="D342" s="2"/>
      <c r="H342" s="2"/>
      <c r="I342" s="9"/>
      <c r="J342" s="2"/>
      <c r="K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</row>
    <row r="343" spans="2:91" x14ac:dyDescent="0.25">
      <c r="B343" s="2"/>
      <c r="C343" s="2"/>
      <c r="D343" s="2"/>
      <c r="H343" s="2"/>
      <c r="I343" s="9"/>
      <c r="J343" s="2"/>
      <c r="K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</row>
    <row r="344" spans="2:91" x14ac:dyDescent="0.25">
      <c r="B344" s="2"/>
      <c r="C344" s="2"/>
      <c r="D344" s="2"/>
      <c r="H344" s="2"/>
      <c r="I344" s="9"/>
      <c r="J344" s="2"/>
      <c r="K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</row>
    <row r="345" spans="2:91" x14ac:dyDescent="0.25">
      <c r="B345" s="2"/>
      <c r="C345" s="2"/>
      <c r="D345" s="2"/>
      <c r="H345" s="2"/>
      <c r="I345" s="9"/>
      <c r="J345" s="2"/>
      <c r="K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</row>
    <row r="346" spans="2:91" x14ac:dyDescent="0.25">
      <c r="B346" s="2"/>
      <c r="C346" s="2"/>
      <c r="D346" s="2"/>
      <c r="H346" s="2"/>
      <c r="I346" s="9"/>
      <c r="J346" s="2"/>
      <c r="K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</row>
    <row r="347" spans="2:91" x14ac:dyDescent="0.25">
      <c r="B347" s="2"/>
      <c r="C347" s="2"/>
      <c r="D347" s="2"/>
      <c r="H347" s="2"/>
      <c r="I347" s="9"/>
      <c r="J347" s="2"/>
      <c r="K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</row>
    <row r="348" spans="2:91" x14ac:dyDescent="0.25">
      <c r="B348" s="2"/>
      <c r="C348" s="2"/>
      <c r="D348" s="2"/>
      <c r="H348" s="2"/>
      <c r="I348" s="9"/>
      <c r="J348" s="2"/>
      <c r="K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</row>
    <row r="349" spans="2:91" x14ac:dyDescent="0.25">
      <c r="B349" s="2"/>
      <c r="C349" s="2"/>
      <c r="D349" s="2"/>
      <c r="H349" s="2"/>
      <c r="I349" s="9"/>
      <c r="J349" s="2"/>
      <c r="K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</row>
    <row r="350" spans="2:91" x14ac:dyDescent="0.25">
      <c r="B350" s="2"/>
      <c r="C350" s="2"/>
      <c r="D350" s="2"/>
      <c r="H350" s="2"/>
      <c r="I350" s="9"/>
      <c r="J350" s="2"/>
      <c r="K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</row>
    <row r="351" spans="2:91" x14ac:dyDescent="0.25">
      <c r="B351" s="2"/>
      <c r="C351" s="2"/>
      <c r="D351" s="2"/>
      <c r="H351" s="2"/>
      <c r="I351" s="9"/>
      <c r="J351" s="2"/>
      <c r="K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</row>
    <row r="352" spans="2:91" x14ac:dyDescent="0.25">
      <c r="B352" s="2"/>
      <c r="C352" s="2"/>
      <c r="D352" s="2"/>
      <c r="H352" s="2"/>
      <c r="I352" s="9"/>
      <c r="J352" s="2"/>
      <c r="K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</row>
    <row r="353" spans="2:91" x14ac:dyDescent="0.25">
      <c r="B353" s="2"/>
      <c r="C353" s="2"/>
      <c r="D353" s="2"/>
      <c r="H353" s="2"/>
      <c r="I353" s="9"/>
      <c r="J353" s="2"/>
      <c r="K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</row>
    <row r="354" spans="2:91" x14ac:dyDescent="0.25">
      <c r="B354" s="2"/>
      <c r="C354" s="2"/>
      <c r="D354" s="2"/>
      <c r="H354" s="2"/>
      <c r="I354" s="9"/>
      <c r="J354" s="2"/>
      <c r="K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</row>
    <row r="355" spans="2:91" x14ac:dyDescent="0.25">
      <c r="B355" s="2"/>
      <c r="C355" s="2"/>
      <c r="D355" s="2"/>
      <c r="H355" s="2"/>
      <c r="I355" s="9"/>
      <c r="J355" s="2"/>
      <c r="K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</row>
    <row r="356" spans="2:91" x14ac:dyDescent="0.25">
      <c r="B356" s="2"/>
      <c r="C356" s="2"/>
      <c r="D356" s="2"/>
      <c r="H356" s="2"/>
      <c r="I356" s="9"/>
      <c r="J356" s="2"/>
      <c r="K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</row>
    <row r="357" spans="2:91" x14ac:dyDescent="0.25">
      <c r="B357" s="2"/>
      <c r="C357" s="2"/>
      <c r="D357" s="2"/>
      <c r="H357" s="2"/>
      <c r="I357" s="9"/>
      <c r="J357" s="2"/>
      <c r="K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</row>
    <row r="358" spans="2:91" x14ac:dyDescent="0.25">
      <c r="B358" s="2"/>
      <c r="C358" s="2"/>
      <c r="D358" s="2"/>
      <c r="H358" s="2"/>
      <c r="I358" s="9"/>
      <c r="J358" s="2"/>
      <c r="K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</row>
    <row r="359" spans="2:91" x14ac:dyDescent="0.25">
      <c r="B359" s="2"/>
      <c r="C359" s="2"/>
      <c r="D359" s="2"/>
      <c r="H359" s="2"/>
      <c r="I359" s="9"/>
      <c r="J359" s="2"/>
      <c r="K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</row>
    <row r="360" spans="2:91" x14ac:dyDescent="0.25">
      <c r="B360" s="2"/>
      <c r="C360" s="2"/>
      <c r="D360" s="2"/>
      <c r="H360" s="2"/>
      <c r="I360" s="9"/>
      <c r="J360" s="2"/>
      <c r="K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</row>
    <row r="361" spans="2:91" x14ac:dyDescent="0.25">
      <c r="B361" s="2"/>
      <c r="C361" s="2"/>
      <c r="D361" s="2"/>
      <c r="H361" s="2"/>
      <c r="I361" s="9"/>
      <c r="J361" s="2"/>
      <c r="K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</row>
    <row r="362" spans="2:91" x14ac:dyDescent="0.25">
      <c r="B362" s="2"/>
      <c r="C362" s="2"/>
      <c r="D362" s="2"/>
      <c r="H362" s="2"/>
      <c r="I362" s="9"/>
      <c r="J362" s="2"/>
      <c r="K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</row>
    <row r="363" spans="2:91" x14ac:dyDescent="0.25">
      <c r="B363" s="2"/>
      <c r="C363" s="2"/>
      <c r="D363" s="2"/>
      <c r="H363" s="2"/>
      <c r="I363" s="9"/>
      <c r="J363" s="2"/>
      <c r="K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</row>
    <row r="364" spans="2:91" x14ac:dyDescent="0.25">
      <c r="B364" s="2"/>
      <c r="C364" s="2"/>
      <c r="D364" s="2"/>
      <c r="H364" s="2"/>
      <c r="I364" s="9"/>
      <c r="J364" s="2"/>
      <c r="K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</row>
    <row r="365" spans="2:91" x14ac:dyDescent="0.25">
      <c r="B365" s="2"/>
      <c r="C365" s="2"/>
      <c r="D365" s="2"/>
      <c r="H365" s="2"/>
      <c r="I365" s="9"/>
      <c r="J365" s="2"/>
      <c r="K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</row>
    <row r="366" spans="2:91" x14ac:dyDescent="0.25">
      <c r="B366" s="2"/>
      <c r="C366" s="2"/>
      <c r="D366" s="2"/>
      <c r="H366" s="2"/>
      <c r="I366" s="9"/>
      <c r="J366" s="2"/>
      <c r="K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</row>
    <row r="367" spans="2:91" x14ac:dyDescent="0.25">
      <c r="B367" s="2"/>
      <c r="C367" s="2"/>
      <c r="D367" s="2"/>
      <c r="H367" s="2"/>
      <c r="I367" s="9"/>
      <c r="J367" s="2"/>
      <c r="K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</row>
    <row r="368" spans="2:91" x14ac:dyDescent="0.25">
      <c r="B368" s="2"/>
      <c r="C368" s="2"/>
      <c r="D368" s="2"/>
      <c r="H368" s="2"/>
      <c r="I368" s="9"/>
      <c r="J368" s="2"/>
      <c r="K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</row>
    <row r="369" spans="2:91" x14ac:dyDescent="0.25">
      <c r="B369" s="2"/>
      <c r="C369" s="2"/>
      <c r="D369" s="2"/>
      <c r="H369" s="2"/>
      <c r="I369" s="9"/>
      <c r="J369" s="2"/>
      <c r="K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</row>
    <row r="370" spans="2:91" x14ac:dyDescent="0.25">
      <c r="B370" s="2"/>
      <c r="C370" s="2"/>
      <c r="D370" s="2"/>
      <c r="H370" s="2"/>
      <c r="I370" s="9"/>
      <c r="J370" s="2"/>
      <c r="K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</row>
    <row r="371" spans="2:91" x14ac:dyDescent="0.25">
      <c r="B371" s="2"/>
      <c r="C371" s="2"/>
      <c r="D371" s="2"/>
      <c r="H371" s="2"/>
      <c r="I371" s="9"/>
      <c r="J371" s="2"/>
      <c r="K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</row>
    <row r="372" spans="2:91" x14ac:dyDescent="0.25">
      <c r="B372" s="2"/>
      <c r="C372" s="2"/>
      <c r="D372" s="2"/>
      <c r="H372" s="2"/>
      <c r="I372" s="9"/>
      <c r="J372" s="2"/>
      <c r="K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</row>
    <row r="373" spans="2:91" x14ac:dyDescent="0.25">
      <c r="B373" s="2"/>
      <c r="C373" s="2"/>
      <c r="D373" s="2"/>
      <c r="H373" s="2"/>
      <c r="I373" s="9"/>
      <c r="J373" s="2"/>
      <c r="K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</row>
    <row r="374" spans="2:91" x14ac:dyDescent="0.25">
      <c r="B374" s="2"/>
      <c r="C374" s="2"/>
      <c r="D374" s="2"/>
      <c r="H374" s="2"/>
      <c r="I374" s="9"/>
      <c r="J374" s="2"/>
      <c r="K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</row>
    <row r="375" spans="2:91" x14ac:dyDescent="0.25">
      <c r="B375" s="2"/>
      <c r="C375" s="2"/>
      <c r="D375" s="2"/>
      <c r="H375" s="2"/>
      <c r="I375" s="9"/>
      <c r="J375" s="2"/>
      <c r="K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</row>
    <row r="376" spans="2:91" x14ac:dyDescent="0.25">
      <c r="B376" s="2"/>
      <c r="C376" s="2"/>
      <c r="D376" s="2"/>
      <c r="H376" s="2"/>
      <c r="I376" s="9"/>
      <c r="J376" s="2"/>
      <c r="K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</row>
    <row r="377" spans="2:91" x14ac:dyDescent="0.25">
      <c r="B377" s="2"/>
      <c r="C377" s="2"/>
      <c r="D377" s="2"/>
      <c r="H377" s="2"/>
      <c r="I377" s="9"/>
      <c r="J377" s="2"/>
      <c r="K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</row>
    <row r="378" spans="2:91" x14ac:dyDescent="0.25">
      <c r="B378" s="2"/>
      <c r="C378" s="2"/>
      <c r="D378" s="2"/>
      <c r="H378" s="2"/>
      <c r="I378" s="9"/>
      <c r="J378" s="2"/>
      <c r="K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</row>
    <row r="379" spans="2:91" x14ac:dyDescent="0.25">
      <c r="B379" s="2"/>
      <c r="C379" s="2"/>
      <c r="D379" s="2"/>
      <c r="H379" s="2"/>
      <c r="I379" s="9"/>
      <c r="J379" s="2"/>
      <c r="K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</row>
    <row r="380" spans="2:91" x14ac:dyDescent="0.25">
      <c r="B380" s="2"/>
      <c r="C380" s="2"/>
      <c r="D380" s="2"/>
      <c r="H380" s="2"/>
      <c r="I380" s="9"/>
      <c r="J380" s="2"/>
      <c r="K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</row>
    <row r="381" spans="2:91" x14ac:dyDescent="0.25">
      <c r="B381" s="2"/>
      <c r="C381" s="2"/>
      <c r="D381" s="2"/>
      <c r="H381" s="2"/>
      <c r="I381" s="9"/>
      <c r="J381" s="2"/>
      <c r="K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</row>
    <row r="382" spans="2:91" x14ac:dyDescent="0.25">
      <c r="B382" s="2"/>
      <c r="C382" s="2"/>
      <c r="D382" s="2"/>
      <c r="H382" s="2"/>
      <c r="I382" s="9"/>
      <c r="J382" s="2"/>
      <c r="K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</row>
    <row r="383" spans="2:91" x14ac:dyDescent="0.25">
      <c r="B383" s="2"/>
      <c r="C383" s="2"/>
      <c r="D383" s="2"/>
      <c r="H383" s="2"/>
      <c r="I383" s="9"/>
      <c r="J383" s="2"/>
      <c r="K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</row>
    <row r="384" spans="2:91" x14ac:dyDescent="0.25">
      <c r="B384" s="2"/>
      <c r="C384" s="2"/>
      <c r="D384" s="2"/>
      <c r="H384" s="2"/>
      <c r="I384" s="9"/>
      <c r="J384" s="2"/>
      <c r="K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</row>
    <row r="385" spans="2:91" x14ac:dyDescent="0.25">
      <c r="B385" s="2"/>
      <c r="C385" s="2"/>
      <c r="D385" s="2"/>
      <c r="H385" s="2"/>
      <c r="I385" s="9"/>
      <c r="J385" s="2"/>
      <c r="K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</row>
    <row r="386" spans="2:91" x14ac:dyDescent="0.25">
      <c r="B386" s="2"/>
      <c r="C386" s="2"/>
      <c r="D386" s="2"/>
      <c r="H386" s="2"/>
      <c r="I386" s="9"/>
      <c r="J386" s="2"/>
      <c r="K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</row>
    <row r="387" spans="2:91" x14ac:dyDescent="0.25">
      <c r="B387" s="2"/>
      <c r="C387" s="2"/>
      <c r="D387" s="2"/>
      <c r="H387" s="2"/>
      <c r="I387" s="9"/>
      <c r="J387" s="2"/>
      <c r="K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</row>
    <row r="388" spans="2:91" x14ac:dyDescent="0.25">
      <c r="B388" s="2"/>
      <c r="C388" s="2"/>
      <c r="D388" s="2"/>
      <c r="H388" s="2"/>
      <c r="I388" s="9"/>
      <c r="J388" s="2"/>
      <c r="K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</row>
    <row r="389" spans="2:91" x14ac:dyDescent="0.25">
      <c r="B389" s="2"/>
      <c r="C389" s="2"/>
      <c r="D389" s="2"/>
      <c r="H389" s="2"/>
      <c r="I389" s="9"/>
      <c r="J389" s="2"/>
      <c r="K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</row>
    <row r="390" spans="2:91" x14ac:dyDescent="0.25">
      <c r="B390" s="2"/>
      <c r="C390" s="2"/>
      <c r="D390" s="2"/>
      <c r="H390" s="2"/>
      <c r="I390" s="9"/>
      <c r="J390" s="2"/>
      <c r="K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</row>
    <row r="391" spans="2:91" x14ac:dyDescent="0.25">
      <c r="B391" s="2"/>
      <c r="C391" s="2"/>
      <c r="D391" s="2"/>
      <c r="H391" s="2"/>
      <c r="I391" s="9"/>
      <c r="J391" s="2"/>
      <c r="K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</row>
    <row r="392" spans="2:91" x14ac:dyDescent="0.25">
      <c r="B392" s="2"/>
      <c r="C392" s="2"/>
      <c r="D392" s="2"/>
      <c r="H392" s="2"/>
      <c r="I392" s="9"/>
      <c r="J392" s="2"/>
      <c r="K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</row>
    <row r="393" spans="2:91" x14ac:dyDescent="0.25">
      <c r="B393" s="2"/>
      <c r="C393" s="2"/>
      <c r="D393" s="2"/>
      <c r="H393" s="2"/>
      <c r="I393" s="9"/>
      <c r="J393" s="2"/>
      <c r="K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</row>
    <row r="394" spans="2:91" x14ac:dyDescent="0.25">
      <c r="B394" s="2"/>
      <c r="C394" s="2"/>
      <c r="D394" s="2"/>
      <c r="H394" s="2"/>
      <c r="I394" s="9"/>
      <c r="J394" s="2"/>
      <c r="K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</row>
    <row r="395" spans="2:91" x14ac:dyDescent="0.25">
      <c r="B395" s="2"/>
      <c r="C395" s="2"/>
      <c r="D395" s="2"/>
      <c r="H395" s="2"/>
      <c r="I395" s="9"/>
      <c r="J395" s="2"/>
      <c r="K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</row>
    <row r="396" spans="2:91" x14ac:dyDescent="0.25">
      <c r="B396" s="2"/>
      <c r="C396" s="2"/>
      <c r="D396" s="2"/>
      <c r="H396" s="2"/>
      <c r="I396" s="9"/>
      <c r="J396" s="2"/>
      <c r="K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</row>
    <row r="397" spans="2:91" x14ac:dyDescent="0.25">
      <c r="B397" s="2"/>
      <c r="C397" s="2"/>
      <c r="D397" s="2"/>
      <c r="H397" s="2"/>
      <c r="I397" s="9"/>
      <c r="J397" s="2"/>
      <c r="K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</row>
    <row r="398" spans="2:91" x14ac:dyDescent="0.25">
      <c r="B398" s="2"/>
      <c r="C398" s="2"/>
      <c r="D398" s="2"/>
      <c r="H398" s="2"/>
      <c r="I398" s="9"/>
      <c r="J398" s="2"/>
      <c r="K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</row>
    <row r="399" spans="2:91" x14ac:dyDescent="0.25">
      <c r="B399" s="2"/>
      <c r="C399" s="2"/>
      <c r="D399" s="2"/>
      <c r="H399" s="2"/>
      <c r="I399" s="9"/>
      <c r="J399" s="2"/>
      <c r="K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</row>
    <row r="400" spans="2:91" x14ac:dyDescent="0.25">
      <c r="B400" s="2"/>
      <c r="C400" s="2"/>
      <c r="D400" s="2"/>
      <c r="H400" s="2"/>
      <c r="I400" s="9"/>
      <c r="J400" s="2"/>
      <c r="K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</row>
    <row r="401" spans="2:91" x14ac:dyDescent="0.25">
      <c r="B401" s="2"/>
      <c r="C401" s="2"/>
      <c r="D401" s="2"/>
      <c r="H401" s="2"/>
      <c r="I401" s="9"/>
      <c r="J401" s="2"/>
      <c r="K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</row>
    <row r="402" spans="2:91" x14ac:dyDescent="0.25">
      <c r="B402" s="2"/>
      <c r="C402" s="2"/>
      <c r="D402" s="2"/>
      <c r="H402" s="2"/>
      <c r="I402" s="9"/>
      <c r="J402" s="2"/>
      <c r="K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</row>
    <row r="403" spans="2:91" x14ac:dyDescent="0.25">
      <c r="B403" s="2"/>
      <c r="C403" s="2"/>
      <c r="D403" s="2"/>
      <c r="H403" s="2"/>
      <c r="I403" s="9"/>
      <c r="J403" s="2"/>
      <c r="K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</row>
    <row r="404" spans="2:91" x14ac:dyDescent="0.25">
      <c r="B404" s="2"/>
      <c r="C404" s="2"/>
      <c r="D404" s="2"/>
      <c r="H404" s="2"/>
      <c r="I404" s="9"/>
      <c r="J404" s="2"/>
      <c r="K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</row>
    <row r="405" spans="2:91" x14ac:dyDescent="0.25">
      <c r="B405" s="2"/>
      <c r="C405" s="2"/>
      <c r="D405" s="2"/>
      <c r="H405" s="2"/>
      <c r="I405" s="9"/>
      <c r="J405" s="2"/>
      <c r="K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</row>
    <row r="406" spans="2:91" x14ac:dyDescent="0.25">
      <c r="B406" s="2"/>
      <c r="C406" s="2"/>
      <c r="D406" s="2"/>
      <c r="H406" s="2"/>
      <c r="I406" s="9"/>
      <c r="J406" s="2"/>
      <c r="K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</row>
    <row r="407" spans="2:91" x14ac:dyDescent="0.25">
      <c r="B407" s="2"/>
      <c r="C407" s="2"/>
      <c r="D407" s="2"/>
      <c r="H407" s="2"/>
      <c r="I407" s="9"/>
      <c r="J407" s="2"/>
      <c r="K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</row>
    <row r="408" spans="2:91" x14ac:dyDescent="0.25">
      <c r="B408" s="2"/>
      <c r="C408" s="2"/>
      <c r="D408" s="2"/>
      <c r="H408" s="2"/>
      <c r="I408" s="9"/>
      <c r="J408" s="2"/>
      <c r="K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</row>
    <row r="409" spans="2:91" x14ac:dyDescent="0.25">
      <c r="B409" s="2"/>
      <c r="C409" s="2"/>
      <c r="D409" s="2"/>
      <c r="H409" s="2"/>
      <c r="I409" s="9"/>
      <c r="J409" s="2"/>
      <c r="K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</row>
    <row r="410" spans="2:91" x14ac:dyDescent="0.25">
      <c r="B410" s="2"/>
      <c r="C410" s="2"/>
      <c r="D410" s="2"/>
      <c r="H410" s="2"/>
      <c r="I410" s="9"/>
      <c r="J410" s="2"/>
      <c r="K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</row>
    <row r="411" spans="2:91" x14ac:dyDescent="0.25">
      <c r="B411" s="2"/>
      <c r="C411" s="2"/>
      <c r="D411" s="2"/>
      <c r="H411" s="2"/>
      <c r="I411" s="9"/>
      <c r="J411" s="2"/>
      <c r="K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</row>
    <row r="412" spans="2:91" x14ac:dyDescent="0.25">
      <c r="B412" s="2"/>
      <c r="C412" s="2"/>
      <c r="D412" s="2"/>
      <c r="H412" s="2"/>
      <c r="I412" s="9"/>
      <c r="J412" s="2"/>
      <c r="K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</row>
    <row r="413" spans="2:91" x14ac:dyDescent="0.25">
      <c r="B413" s="2"/>
      <c r="C413" s="2"/>
      <c r="D413" s="2"/>
      <c r="H413" s="2"/>
      <c r="I413" s="9"/>
      <c r="J413" s="2"/>
      <c r="K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</row>
    <row r="414" spans="2:91" x14ac:dyDescent="0.25">
      <c r="B414" s="2"/>
      <c r="C414" s="2"/>
      <c r="D414" s="2"/>
      <c r="H414" s="2"/>
      <c r="I414" s="9"/>
      <c r="J414" s="2"/>
      <c r="K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</row>
    <row r="415" spans="2:91" x14ac:dyDescent="0.25">
      <c r="B415" s="2"/>
      <c r="C415" s="2"/>
      <c r="D415" s="2"/>
      <c r="H415" s="2"/>
      <c r="I415" s="9"/>
      <c r="J415" s="2"/>
      <c r="K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</row>
    <row r="416" spans="2:91" x14ac:dyDescent="0.25">
      <c r="B416" s="2"/>
      <c r="C416" s="2"/>
      <c r="D416" s="2"/>
      <c r="H416" s="2"/>
      <c r="I416" s="9"/>
      <c r="J416" s="2"/>
      <c r="K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</row>
    <row r="417" spans="2:91" x14ac:dyDescent="0.25">
      <c r="B417" s="2"/>
      <c r="C417" s="2"/>
      <c r="D417" s="2"/>
      <c r="H417" s="2"/>
      <c r="I417" s="9"/>
      <c r="J417" s="2"/>
      <c r="K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</row>
    <row r="418" spans="2:91" x14ac:dyDescent="0.25">
      <c r="B418" s="2"/>
      <c r="C418" s="2"/>
      <c r="D418" s="2"/>
      <c r="H418" s="2"/>
      <c r="I418" s="9"/>
      <c r="J418" s="2"/>
      <c r="K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</row>
    <row r="419" spans="2:91" x14ac:dyDescent="0.25">
      <c r="H419" s="2"/>
      <c r="I419" s="9"/>
      <c r="J419" s="2"/>
      <c r="K419" s="2"/>
    </row>
    <row r="420" spans="2:91" x14ac:dyDescent="0.25">
      <c r="H420" s="2"/>
      <c r="I420" s="9"/>
      <c r="J420" s="2"/>
      <c r="K420" s="2"/>
    </row>
    <row r="421" spans="2:91" x14ac:dyDescent="0.25">
      <c r="H421" s="2"/>
      <c r="I421" s="9"/>
      <c r="J421" s="2"/>
      <c r="K421" s="2"/>
    </row>
    <row r="422" spans="2:91" x14ac:dyDescent="0.25">
      <c r="H422" s="2"/>
      <c r="I422" s="9"/>
      <c r="J422" s="2"/>
      <c r="K422" s="2"/>
    </row>
    <row r="423" spans="2:91" x14ac:dyDescent="0.25">
      <c r="H423" s="2"/>
      <c r="I423" s="9"/>
      <c r="J423" s="2"/>
      <c r="K423" s="2"/>
    </row>
    <row r="424" spans="2:91" x14ac:dyDescent="0.25">
      <c r="H424" s="2"/>
      <c r="I424" s="9"/>
      <c r="J424" s="2"/>
      <c r="K424" s="2"/>
    </row>
  </sheetData>
  <mergeCells count="5">
    <mergeCell ref="AG2:AM2"/>
    <mergeCell ref="F2:R2"/>
    <mergeCell ref="F31:R31"/>
    <mergeCell ref="B2:D2"/>
    <mergeCell ref="W2:AE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 Qattan</dc:creator>
  <cp:lastModifiedBy>M. A. Qattan</cp:lastModifiedBy>
  <dcterms:created xsi:type="dcterms:W3CDTF">2015-06-05T18:17:20Z</dcterms:created>
  <dcterms:modified xsi:type="dcterms:W3CDTF">2025-07-17T18:38:06Z</dcterms:modified>
</cp:coreProperties>
</file>