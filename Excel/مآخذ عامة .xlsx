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102EB927-3E70-4392-90A2-65994C5F8A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U5" i="1" l="1"/>
  <c r="U6" i="1"/>
  <c r="U7" i="1"/>
  <c r="U8" i="1"/>
  <c r="U4" i="1"/>
  <c r="B8" i="1"/>
  <c r="B9" i="1"/>
  <c r="B10" i="1"/>
  <c r="B11" i="1"/>
  <c r="B13" i="1"/>
  <c r="B16" i="1"/>
  <c r="B17" i="1"/>
  <c r="B18" i="1"/>
  <c r="B21" i="1"/>
  <c r="B22" i="1"/>
  <c r="B23" i="1"/>
  <c r="B24" i="1"/>
  <c r="B26" i="1"/>
  <c r="B27" i="1"/>
  <c r="B28" i="1"/>
  <c r="M8" i="1" s="1"/>
  <c r="L8" i="1" s="1"/>
  <c r="H8" i="1" s="1"/>
  <c r="B6" i="1"/>
  <c r="M7" i="1" l="1"/>
  <c r="M5" i="1"/>
  <c r="L5" i="1" s="1"/>
  <c r="H5" i="1" s="1"/>
  <c r="M4" i="1"/>
  <c r="M6" i="1"/>
  <c r="L6" i="1" s="1"/>
  <c r="H6" i="1" s="1"/>
  <c r="L7" i="1"/>
  <c r="H7" i="1" s="1"/>
  <c r="L4" i="1"/>
  <c r="H4" i="1" s="1"/>
</calcChain>
</file>

<file path=xl/sharedStrings.xml><?xml version="1.0" encoding="utf-8"?>
<sst xmlns="http://schemas.openxmlformats.org/spreadsheetml/2006/main" count="116" uniqueCount="69">
  <si>
    <t>Room</t>
  </si>
  <si>
    <t xml:space="preserve">Entrance </t>
  </si>
  <si>
    <t>Guard room</t>
  </si>
  <si>
    <t xml:space="preserve">waiting </t>
  </si>
  <si>
    <t>ATM</t>
  </si>
  <si>
    <t>Cash counters</t>
  </si>
  <si>
    <t>Support office</t>
  </si>
  <si>
    <t>Custmers service</t>
  </si>
  <si>
    <t>Guard</t>
  </si>
  <si>
    <t>Vault Room</t>
  </si>
  <si>
    <t xml:space="preserve">Filling office </t>
  </si>
  <si>
    <t>M.WC</t>
  </si>
  <si>
    <t>F.WC</t>
  </si>
  <si>
    <t xml:space="preserve">Janitor </t>
  </si>
  <si>
    <t>Mec.room</t>
  </si>
  <si>
    <t>Storage</t>
  </si>
  <si>
    <t xml:space="preserve">Staff ent controle </t>
  </si>
  <si>
    <t>First floor corridors</t>
  </si>
  <si>
    <t>Negotiation office</t>
  </si>
  <si>
    <t xml:space="preserve">Clerk office </t>
  </si>
  <si>
    <t xml:space="preserve">Auditing </t>
  </si>
  <si>
    <t>Credit office</t>
  </si>
  <si>
    <t xml:space="preserve">Second floor corridors </t>
  </si>
  <si>
    <t xml:space="preserve">Meeting room </t>
  </si>
  <si>
    <t>Secretary room</t>
  </si>
  <si>
    <t xml:space="preserve">Manager room </t>
  </si>
  <si>
    <t xml:space="preserve">Third floor corridors </t>
  </si>
  <si>
    <t>-</t>
  </si>
  <si>
    <t>UF</t>
  </si>
  <si>
    <t xml:space="preserve">N </t>
  </si>
  <si>
    <t>cosθ</t>
  </si>
  <si>
    <t>استطاعتها</t>
  </si>
  <si>
    <t xml:space="preserve">مغذاة من </t>
  </si>
  <si>
    <t xml:space="preserve">مسارها </t>
  </si>
  <si>
    <t xml:space="preserve">التفريعة </t>
  </si>
  <si>
    <t>التماسات</t>
  </si>
  <si>
    <t>SDB-1</t>
  </si>
  <si>
    <t>p1</t>
  </si>
  <si>
    <t>1p</t>
  </si>
  <si>
    <t>SDB-2</t>
  </si>
  <si>
    <t xml:space="preserve">كامل الطابق الثاني </t>
  </si>
  <si>
    <t>p2</t>
  </si>
  <si>
    <t>SDB-3</t>
  </si>
  <si>
    <t>p3</t>
  </si>
  <si>
    <t>∆U%</t>
  </si>
  <si>
    <t xml:space="preserve">كامل المبنى الخارجي دائري الشكل </t>
  </si>
  <si>
    <t>الطابق الأرض من المبنى رئيسي</t>
  </si>
  <si>
    <t>غرفة الاجتماعات وغرفة السكرتيرة</t>
  </si>
  <si>
    <t>p5</t>
  </si>
  <si>
    <t>غرفة المدير</t>
  </si>
  <si>
    <t xml:space="preserve">جدول حسابات تفريعات المآخذ العامة </t>
  </si>
  <si>
    <t>جدول حسابات المآخذ العامة</t>
  </si>
  <si>
    <t>جدول مواصفات قواطع تفريعات المآخذ العامة</t>
  </si>
  <si>
    <r>
      <t>P</t>
    </r>
    <r>
      <rPr>
        <b/>
        <vertAlign val="subscript"/>
        <sz val="12"/>
        <color theme="1"/>
        <rFont val="Times New Roman"/>
        <family val="1"/>
        <scheme val="major"/>
      </rPr>
      <t>totel</t>
    </r>
  </si>
  <si>
    <r>
      <t>P</t>
    </r>
    <r>
      <rPr>
        <b/>
        <vertAlign val="subscript"/>
        <sz val="12"/>
        <color theme="1"/>
        <rFont val="Times New Roman"/>
        <family val="1"/>
        <scheme val="major"/>
      </rPr>
      <t>Outlet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</si>
  <si>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</si>
  <si>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A [mm</t>
    </r>
    <r>
      <rPr>
        <b/>
        <vertAlign val="superscript"/>
        <sz val="12"/>
        <color theme="1"/>
        <rFont val="Times New Roman"/>
        <family val="1"/>
        <scheme val="major"/>
      </rPr>
      <t>2</t>
    </r>
    <r>
      <rPr>
        <b/>
        <sz val="12"/>
        <color theme="1"/>
        <rFont val="Times New Roman"/>
        <family val="1"/>
        <scheme val="major"/>
      </rPr>
      <t>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</si>
  <si>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L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</si>
  <si>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cut</t>
    </r>
    <r>
      <rPr>
        <b/>
        <sz val="12"/>
        <color theme="1"/>
        <rFont val="Times New Roman"/>
        <family val="1"/>
        <scheme val="major"/>
      </rPr>
      <t xml:space="preserve"> [KA]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</si>
  <si>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 xml:space="preserve">L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 xml:space="preserve">NCB </t>
    </r>
    <r>
      <rPr>
        <b/>
        <sz val="12"/>
        <color theme="1"/>
        <rFont val="Times New Roman"/>
        <family val="1"/>
        <scheme val="major"/>
      </rPr>
      <t>&lt; I</t>
    </r>
    <r>
      <rPr>
        <b/>
        <vertAlign val="subscript"/>
        <sz val="12"/>
        <color theme="1"/>
        <rFont val="Times New Roman"/>
        <family val="1"/>
        <scheme val="major"/>
      </rPr>
      <t>z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</si>
  <si>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m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</si>
  <si>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r</t>
    </r>
    <r>
      <rPr>
        <b/>
        <sz val="12"/>
        <color theme="1"/>
        <rFont val="Times New Roman"/>
        <family val="1"/>
        <scheme val="major"/>
      </rPr>
      <t xml:space="preserve"> [A]</t>
    </r>
  </si>
  <si>
    <r>
      <t>I</t>
    </r>
    <r>
      <rPr>
        <b/>
        <vertAlign val="subscript"/>
        <sz val="12"/>
        <color theme="1"/>
        <rFont val="Times New Roman"/>
        <family val="1"/>
        <scheme val="major"/>
      </rPr>
      <t>NCB</t>
    </r>
    <r>
      <rPr>
        <b/>
        <sz val="12"/>
        <color theme="1"/>
        <rFont val="Times New Roman"/>
        <family val="1"/>
        <scheme val="major"/>
      </rPr>
      <t xml:space="preserve"> [A]</t>
    </r>
  </si>
  <si>
    <t>11.334 &lt; 16 &lt; 23</t>
  </si>
  <si>
    <t>3.6 &lt; 16 &lt; 23</t>
  </si>
  <si>
    <t>10.667 &lt; 16 &lt; 23</t>
  </si>
  <si>
    <t>10.5 &lt; 16 &lt; 23</t>
  </si>
  <si>
    <t>7.5 &lt; 16 &lt; 23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</si>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</sst>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2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8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b/>
      <vertAlign val="subscript"/>
      <sz val="12"/>
      <color theme="1"/>
      <name val="Times New Roman"/>
      <family val="1"/>
      <scheme val="major"/>
    </font>
    <font>
      <b/>
      <vertAlign val="superscript"/>
      <sz val="12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I240"/>
  <sheetViews>
    <sheetView tabSelected="1" topLeftCell="C1" zoomScale="120" zoomScaleNormal="120" workbookViewId="0">
      <selection activeCell="H2" sqref="H2:P8"/>
    </sheetView>
  </sheetViews>
  <sheetFormatPr defaultRowHeight="13.8" x14ac:dyDescent="0.25"/>
  <cols>
    <col min="2" max="3" width="5.69921875" customWidth="1"/>
    <col min="4" max="4" width="6.19921875" customWidth="1"/>
    <col min="5" max="5" width="3.796875" customWidth="1"/>
    <col min="6" max="6" width="19.09765625" bestFit="1" customWidth="1"/>
    <col min="8" max="8" width="10.19921875" customWidth="1"/>
    <col min="9" max="9" width="5.3984375" customWidth="1"/>
    <col min="10" max="10" width="6.69921875" customWidth="1"/>
    <col min="11" max="11" width="8.59765625" customWidth="1"/>
    <col min="12" max="12" width="6.8984375" bestFit="1" customWidth="1"/>
    <col min="13" max="13" width="8.296875" customWidth="1"/>
    <col min="14" max="14" width="9.69921875" customWidth="1"/>
    <col min="15" max="15" width="16.69921875" style="6" customWidth="1"/>
    <col min="16" max="16" width="5.8984375" bestFit="1" customWidth="1"/>
    <col min="18" max="18" width="9.3984375" customWidth="1"/>
    <col min="19" max="19" width="13.796875" customWidth="1"/>
    <col min="20" max="20" width="7.19921875" customWidth="1"/>
    <col min="21" max="21" width="8.8984375" customWidth="1"/>
    <col min="22" max="22" width="8.296875" customWidth="1"/>
    <col min="23" max="23" width="7.3984375" customWidth="1"/>
    <col min="24" max="24" width="6.5" customWidth="1"/>
  </cols>
  <sheetData>
    <row r="2" spans="2:87" ht="33.6" customHeight="1" x14ac:dyDescent="0.25">
      <c r="B2" s="9" t="s">
        <v>51</v>
      </c>
      <c r="C2" s="9"/>
      <c r="D2" s="9"/>
      <c r="E2" s="9"/>
      <c r="F2" s="9"/>
      <c r="G2" s="1"/>
      <c r="H2" s="10" t="s">
        <v>50</v>
      </c>
      <c r="I2" s="10"/>
      <c r="J2" s="10"/>
      <c r="K2" s="10"/>
      <c r="L2" s="10"/>
      <c r="M2" s="10"/>
      <c r="N2" s="10"/>
      <c r="O2" s="10"/>
      <c r="P2" s="10"/>
      <c r="R2" s="9" t="s">
        <v>52</v>
      </c>
      <c r="S2" s="9"/>
      <c r="T2" s="9"/>
      <c r="U2" s="9"/>
      <c r="V2" s="9"/>
      <c r="W2" s="9"/>
      <c r="X2" s="9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2:87" ht="33.6" customHeight="1" x14ac:dyDescent="0.25">
      <c r="B3" s="7" t="s">
        <v>53</v>
      </c>
      <c r="C3" s="7" t="s">
        <v>28</v>
      </c>
      <c r="D3" s="7" t="s">
        <v>54</v>
      </c>
      <c r="E3" s="7" t="s">
        <v>29</v>
      </c>
      <c r="F3" s="7" t="s">
        <v>0</v>
      </c>
      <c r="G3" s="1"/>
      <c r="H3" s="7" t="s">
        <v>44</v>
      </c>
      <c r="I3" s="7" t="s">
        <v>30</v>
      </c>
      <c r="J3" s="7" t="s">
        <v>55</v>
      </c>
      <c r="K3" s="7" t="s">
        <v>56</v>
      </c>
      <c r="L3" s="7" t="s">
        <v>57</v>
      </c>
      <c r="M3" s="7" t="s">
        <v>31</v>
      </c>
      <c r="N3" s="7" t="s">
        <v>32</v>
      </c>
      <c r="O3" s="8" t="s">
        <v>33</v>
      </c>
      <c r="P3" s="7" t="s">
        <v>34</v>
      </c>
      <c r="R3" s="7" t="s">
        <v>58</v>
      </c>
      <c r="S3" s="7" t="s">
        <v>59</v>
      </c>
      <c r="T3" s="7" t="s">
        <v>60</v>
      </c>
      <c r="U3" s="7" t="s">
        <v>61</v>
      </c>
      <c r="V3" s="7" t="s">
        <v>62</v>
      </c>
      <c r="W3" s="7" t="s">
        <v>35</v>
      </c>
      <c r="X3" s="7" t="s">
        <v>34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spans="2:87" ht="33.6" customHeight="1" x14ac:dyDescent="0.25">
      <c r="B4" s="3" t="s">
        <v>27</v>
      </c>
      <c r="C4" s="3" t="s">
        <v>27</v>
      </c>
      <c r="D4" s="3" t="s">
        <v>27</v>
      </c>
      <c r="E4" s="3" t="s">
        <v>27</v>
      </c>
      <c r="F4" s="2" t="s">
        <v>1</v>
      </c>
      <c r="G4" s="1"/>
      <c r="H4" s="3">
        <f>ROUNDUP(((2*((0.0178*36)/K4)*L4*I4)/220)*100,3)</f>
        <v>2.113</v>
      </c>
      <c r="I4" s="3">
        <v>0.8</v>
      </c>
      <c r="J4" s="3">
        <v>16</v>
      </c>
      <c r="K4" s="3">
        <v>2.5</v>
      </c>
      <c r="L4" s="3">
        <f>ROUNDUP(M4/(220*0.9),3)</f>
        <v>11.334</v>
      </c>
      <c r="M4" s="3">
        <f>B5+B6+B8+B9+B10+B11</f>
        <v>2244</v>
      </c>
      <c r="N4" s="3" t="s">
        <v>36</v>
      </c>
      <c r="O4" s="4" t="s">
        <v>45</v>
      </c>
      <c r="P4" s="3" t="s">
        <v>37</v>
      </c>
      <c r="R4" s="3">
        <v>3</v>
      </c>
      <c r="S4" s="3" t="s">
        <v>63</v>
      </c>
      <c r="T4" s="3">
        <v>160</v>
      </c>
      <c r="U4" s="3">
        <f>16*1.13</f>
        <v>18.079999999999998</v>
      </c>
      <c r="V4" s="3">
        <v>16</v>
      </c>
      <c r="W4" s="3" t="s">
        <v>38</v>
      </c>
      <c r="X4" s="3" t="s">
        <v>37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</row>
    <row r="5" spans="2:87" ht="33.6" customHeight="1" x14ac:dyDescent="0.25">
      <c r="B5" s="3">
        <f>E5*D5*C5</f>
        <v>264</v>
      </c>
      <c r="C5" s="3">
        <v>0.1</v>
      </c>
      <c r="D5" s="3">
        <v>1320</v>
      </c>
      <c r="E5" s="3">
        <v>2</v>
      </c>
      <c r="F5" s="2" t="s">
        <v>2</v>
      </c>
      <c r="G5" s="1"/>
      <c r="H5" s="3">
        <f>ROUNDUP(((2*((0.0178*36)/K5)*L5*I5)/220)*100,3)</f>
        <v>0.67200000000000004</v>
      </c>
      <c r="I5" s="3">
        <v>0.8</v>
      </c>
      <c r="J5" s="3">
        <v>16</v>
      </c>
      <c r="K5" s="3">
        <v>2.5</v>
      </c>
      <c r="L5" s="3">
        <f>ROUNDUP(M5/(220*0.9),3)</f>
        <v>3.6</v>
      </c>
      <c r="M5" s="3">
        <f>B13+B16+B17+B18</f>
        <v>712.80000000000007</v>
      </c>
      <c r="N5" s="3" t="s">
        <v>36</v>
      </c>
      <c r="O5" s="4" t="s">
        <v>46</v>
      </c>
      <c r="P5" s="3" t="s">
        <v>41</v>
      </c>
      <c r="R5" s="3">
        <v>3</v>
      </c>
      <c r="S5" s="3" t="s">
        <v>64</v>
      </c>
      <c r="T5" s="3">
        <v>160</v>
      </c>
      <c r="U5" s="3">
        <f t="shared" ref="U5:U8" si="0">16*1.13</f>
        <v>18.079999999999998</v>
      </c>
      <c r="V5" s="3">
        <v>16</v>
      </c>
      <c r="W5" s="3" t="s">
        <v>38</v>
      </c>
      <c r="X5" s="3" t="s">
        <v>41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</row>
    <row r="6" spans="2:87" ht="33.6" customHeight="1" x14ac:dyDescent="0.25">
      <c r="B6" s="3">
        <f>E6*D6*C6</f>
        <v>792</v>
      </c>
      <c r="C6" s="3">
        <v>0.1</v>
      </c>
      <c r="D6" s="3">
        <v>1320</v>
      </c>
      <c r="E6" s="3">
        <v>6</v>
      </c>
      <c r="F6" s="2" t="s">
        <v>3</v>
      </c>
      <c r="G6" s="1"/>
      <c r="H6" s="3">
        <f>ROUNDUP(((2*((0.0178*36)/K6)*L6*I6)/220)*100,3)</f>
        <v>1.9889999999999999</v>
      </c>
      <c r="I6" s="3">
        <v>0.8</v>
      </c>
      <c r="J6" s="3">
        <v>16</v>
      </c>
      <c r="K6" s="3">
        <v>2.5</v>
      </c>
      <c r="L6" s="3">
        <f>ROUNDUP(M6/(220*0.9),3)</f>
        <v>10.667</v>
      </c>
      <c r="M6" s="3">
        <f>B21+B22+B23+B24</f>
        <v>2112</v>
      </c>
      <c r="N6" s="3" t="s">
        <v>39</v>
      </c>
      <c r="O6" s="4" t="s">
        <v>40</v>
      </c>
      <c r="P6" s="3" t="s">
        <v>41</v>
      </c>
      <c r="R6" s="3">
        <v>3</v>
      </c>
      <c r="S6" s="3" t="s">
        <v>65</v>
      </c>
      <c r="T6" s="3">
        <v>160</v>
      </c>
      <c r="U6" s="3">
        <f t="shared" si="0"/>
        <v>18.079999999999998</v>
      </c>
      <c r="V6" s="3">
        <v>16</v>
      </c>
      <c r="W6" s="3" t="s">
        <v>38</v>
      </c>
      <c r="X6" s="3" t="s">
        <v>43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</row>
    <row r="7" spans="2:87" ht="33.6" customHeight="1" x14ac:dyDescent="0.25">
      <c r="B7" s="3" t="s">
        <v>27</v>
      </c>
      <c r="C7" s="3" t="s">
        <v>27</v>
      </c>
      <c r="D7" s="3" t="s">
        <v>27</v>
      </c>
      <c r="E7" s="3" t="s">
        <v>27</v>
      </c>
      <c r="F7" s="2" t="s">
        <v>4</v>
      </c>
      <c r="G7" s="1"/>
      <c r="H7" s="3">
        <f>ROUNDUP(((2*((0.0178*36)/K7)*L7*I7)/220)*100,3)</f>
        <v>1.958</v>
      </c>
      <c r="I7" s="3">
        <v>0.8</v>
      </c>
      <c r="J7" s="3">
        <v>16</v>
      </c>
      <c r="K7" s="3">
        <v>2.5</v>
      </c>
      <c r="L7" s="3">
        <f>ROUNDUP(M7/(220*I7),3)</f>
        <v>10.5</v>
      </c>
      <c r="M7" s="3">
        <f>B26+B27</f>
        <v>1848</v>
      </c>
      <c r="N7" s="3" t="s">
        <v>42</v>
      </c>
      <c r="O7" s="4" t="s">
        <v>47</v>
      </c>
      <c r="P7" s="3" t="s">
        <v>43</v>
      </c>
      <c r="Q7" s="1"/>
      <c r="R7" s="3">
        <v>3</v>
      </c>
      <c r="S7" s="3" t="s">
        <v>66</v>
      </c>
      <c r="T7" s="3">
        <v>160</v>
      </c>
      <c r="U7" s="3">
        <f t="shared" si="0"/>
        <v>18.079999999999998</v>
      </c>
      <c r="V7" s="3">
        <v>16</v>
      </c>
      <c r="W7" s="3" t="s">
        <v>38</v>
      </c>
      <c r="X7" s="3" t="s">
        <v>68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</row>
    <row r="8" spans="2:87" ht="33.6" customHeight="1" x14ac:dyDescent="0.25">
      <c r="B8" s="3">
        <f>E8*D8*C8</f>
        <v>396</v>
      </c>
      <c r="C8" s="3">
        <v>0.1</v>
      </c>
      <c r="D8" s="3">
        <v>1320</v>
      </c>
      <c r="E8" s="3">
        <v>3</v>
      </c>
      <c r="F8" s="2" t="s">
        <v>5</v>
      </c>
      <c r="G8" s="1"/>
      <c r="H8" s="3">
        <f>ROUNDUP(((2*((0.0178*36)/K8)*L8*I8)/220)*100,3)</f>
        <v>1.3989999999999998</v>
      </c>
      <c r="I8" s="3">
        <v>0.8</v>
      </c>
      <c r="J8" s="3">
        <v>16</v>
      </c>
      <c r="K8" s="3">
        <v>2.5</v>
      </c>
      <c r="L8" s="3">
        <f>ROUNDUP(M8/(220*I8),3)</f>
        <v>7.5</v>
      </c>
      <c r="M8" s="3">
        <f>B28</f>
        <v>1320</v>
      </c>
      <c r="N8" s="3" t="s">
        <v>42</v>
      </c>
      <c r="O8" s="4" t="s">
        <v>49</v>
      </c>
      <c r="P8" s="3" t="s">
        <v>48</v>
      </c>
      <c r="Q8" s="1"/>
      <c r="R8" s="3">
        <v>3</v>
      </c>
      <c r="S8" s="3" t="s">
        <v>67</v>
      </c>
      <c r="T8" s="3">
        <v>160</v>
      </c>
      <c r="U8" s="3">
        <f t="shared" si="0"/>
        <v>18.079999999999998</v>
      </c>
      <c r="V8" s="3">
        <v>16</v>
      </c>
      <c r="W8" s="3" t="s">
        <v>38</v>
      </c>
      <c r="X8" s="3" t="s">
        <v>48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2:87" ht="33.6" customHeight="1" x14ac:dyDescent="0.25">
      <c r="B9" s="3">
        <f>E9*D9*C9</f>
        <v>396</v>
      </c>
      <c r="C9" s="3">
        <v>0.1</v>
      </c>
      <c r="D9" s="3">
        <v>1320</v>
      </c>
      <c r="E9" s="3">
        <v>3</v>
      </c>
      <c r="F9" s="2" t="s">
        <v>6</v>
      </c>
      <c r="G9" s="1"/>
      <c r="H9" s="1"/>
      <c r="I9" s="1"/>
      <c r="J9" s="1"/>
      <c r="K9" s="1"/>
      <c r="L9" s="1"/>
      <c r="M9" s="1"/>
      <c r="N9" s="1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  <row r="10" spans="2:87" ht="33.6" customHeight="1" x14ac:dyDescent="0.25">
      <c r="B10" s="3">
        <f>E10*D10*C10</f>
        <v>264</v>
      </c>
      <c r="C10" s="3">
        <v>0.1</v>
      </c>
      <c r="D10" s="3">
        <v>1320</v>
      </c>
      <c r="E10" s="3">
        <v>2</v>
      </c>
      <c r="F10" s="2" t="s">
        <v>7</v>
      </c>
      <c r="G10" s="1"/>
      <c r="H10" s="1"/>
      <c r="I10" s="1"/>
      <c r="J10" s="1"/>
      <c r="K10" s="1"/>
      <c r="L10" s="1"/>
      <c r="M10" s="1"/>
      <c r="N10" s="1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  <row r="11" spans="2:87" ht="33.6" customHeight="1" x14ac:dyDescent="0.25">
      <c r="B11" s="3">
        <f>E11*D11*C11</f>
        <v>132</v>
      </c>
      <c r="C11" s="3">
        <v>0.05</v>
      </c>
      <c r="D11" s="3">
        <v>1320</v>
      </c>
      <c r="E11" s="3">
        <v>2</v>
      </c>
      <c r="F11" s="2" t="s">
        <v>8</v>
      </c>
      <c r="G11" s="1"/>
      <c r="H11" s="1"/>
      <c r="I11" s="1"/>
      <c r="J11" s="1"/>
      <c r="K11" s="1"/>
      <c r="L11" s="1"/>
      <c r="M11" s="1"/>
      <c r="N11" s="1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spans="2:87" ht="33.6" customHeight="1" x14ac:dyDescent="0.25">
      <c r="B12" s="3" t="s">
        <v>27</v>
      </c>
      <c r="C12" s="3" t="s">
        <v>27</v>
      </c>
      <c r="D12" s="3" t="s">
        <v>27</v>
      </c>
      <c r="E12" s="3" t="s">
        <v>27</v>
      </c>
      <c r="F12" s="2" t="s">
        <v>9</v>
      </c>
      <c r="G12" s="1"/>
      <c r="H12" s="1"/>
      <c r="I12" s="1"/>
      <c r="J12" s="1"/>
      <c r="K12" s="1"/>
      <c r="L12" s="1"/>
      <c r="M12" s="1"/>
      <c r="N12" s="1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</row>
    <row r="13" spans="2:87" ht="33.6" customHeight="1" x14ac:dyDescent="0.25">
      <c r="B13" s="3">
        <f>E13*D13*C13</f>
        <v>396</v>
      </c>
      <c r="C13" s="3">
        <v>0.1</v>
      </c>
      <c r="D13" s="3">
        <v>1320</v>
      </c>
      <c r="E13" s="3">
        <v>3</v>
      </c>
      <c r="F13" s="2" t="s">
        <v>10</v>
      </c>
      <c r="G13" s="1"/>
      <c r="H13" s="1"/>
      <c r="I13" s="1"/>
      <c r="J13" s="1"/>
      <c r="K13" s="1"/>
      <c r="L13" s="1"/>
      <c r="M13" s="1"/>
      <c r="N13" s="1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spans="2:87" ht="33.6" customHeight="1" x14ac:dyDescent="0.25">
      <c r="B14" s="3" t="s">
        <v>27</v>
      </c>
      <c r="C14" s="3" t="s">
        <v>27</v>
      </c>
      <c r="D14" s="3" t="s">
        <v>27</v>
      </c>
      <c r="E14" s="3" t="s">
        <v>27</v>
      </c>
      <c r="F14" s="2" t="s">
        <v>11</v>
      </c>
      <c r="G14" s="1"/>
      <c r="H14" s="1"/>
      <c r="I14" s="1"/>
      <c r="J14" s="1"/>
      <c r="K14" s="1"/>
      <c r="L14" s="1"/>
      <c r="M14" s="1"/>
      <c r="N14" s="1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</row>
    <row r="15" spans="2:87" ht="33.6" customHeight="1" x14ac:dyDescent="0.25">
      <c r="B15" s="3" t="s">
        <v>27</v>
      </c>
      <c r="C15" s="3" t="s">
        <v>27</v>
      </c>
      <c r="D15" s="3" t="s">
        <v>27</v>
      </c>
      <c r="E15" s="3" t="s">
        <v>27</v>
      </c>
      <c r="F15" s="2" t="s">
        <v>12</v>
      </c>
      <c r="G15" s="1"/>
      <c r="H15" s="1"/>
      <c r="I15" s="1"/>
      <c r="J15" s="1"/>
      <c r="K15" s="1"/>
      <c r="L15" s="1"/>
      <c r="M15" s="1"/>
      <c r="N15" s="1"/>
      <c r="O15" s="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</row>
    <row r="16" spans="2:87" ht="33.6" customHeight="1" x14ac:dyDescent="0.25">
      <c r="B16" s="3">
        <f>E16*D16*C16</f>
        <v>264</v>
      </c>
      <c r="C16" s="3">
        <v>0.1</v>
      </c>
      <c r="D16" s="3">
        <v>1320</v>
      </c>
      <c r="E16" s="3">
        <v>2</v>
      </c>
      <c r="F16" s="2" t="s">
        <v>13</v>
      </c>
      <c r="G16" s="1"/>
      <c r="H16" s="1"/>
      <c r="I16" s="1"/>
      <c r="J16" s="1"/>
      <c r="K16" s="1"/>
      <c r="L16" s="1"/>
      <c r="M16" s="1"/>
      <c r="N16" s="1"/>
      <c r="O16" s="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</row>
    <row r="17" spans="2:87" ht="33.6" customHeight="1" x14ac:dyDescent="0.25">
      <c r="B17" s="3">
        <f>E17*D17*C17</f>
        <v>39.6</v>
      </c>
      <c r="C17" s="3">
        <v>0.01</v>
      </c>
      <c r="D17" s="3">
        <v>1320</v>
      </c>
      <c r="E17" s="3">
        <v>3</v>
      </c>
      <c r="F17" s="2" t="s">
        <v>14</v>
      </c>
      <c r="G17" s="1"/>
      <c r="H17" s="1"/>
      <c r="I17" s="1"/>
      <c r="J17" s="1"/>
      <c r="K17" s="1"/>
      <c r="L17" s="1"/>
      <c r="M17" s="1"/>
      <c r="N17" s="1"/>
      <c r="O17" s="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</row>
    <row r="18" spans="2:87" ht="33.6" customHeight="1" x14ac:dyDescent="0.25">
      <c r="B18" s="3">
        <f>E18*D18*C18</f>
        <v>13.200000000000001</v>
      </c>
      <c r="C18" s="3">
        <v>0.01</v>
      </c>
      <c r="D18" s="3">
        <v>1320</v>
      </c>
      <c r="E18" s="3">
        <v>1</v>
      </c>
      <c r="F18" s="2" t="s">
        <v>15</v>
      </c>
      <c r="G18" s="1"/>
      <c r="H18" s="1"/>
      <c r="I18" s="1"/>
      <c r="J18" s="1"/>
      <c r="K18" s="1"/>
      <c r="L18" s="1"/>
      <c r="M18" s="1"/>
      <c r="N18" s="1"/>
      <c r="O18" s="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</row>
    <row r="19" spans="2:87" ht="33.6" customHeight="1" x14ac:dyDescent="0.25">
      <c r="B19" s="3" t="s">
        <v>27</v>
      </c>
      <c r="C19" s="3" t="s">
        <v>27</v>
      </c>
      <c r="D19" s="3" t="s">
        <v>27</v>
      </c>
      <c r="E19" s="3" t="s">
        <v>27</v>
      </c>
      <c r="F19" s="2" t="s">
        <v>16</v>
      </c>
      <c r="G19" s="1"/>
      <c r="H19" s="1"/>
      <c r="I19" s="1"/>
      <c r="J19" s="1"/>
      <c r="K19" s="1"/>
      <c r="L19" s="1"/>
      <c r="M19" s="1"/>
      <c r="N19" s="1"/>
      <c r="O19" s="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</row>
    <row r="20" spans="2:87" ht="33.6" customHeight="1" x14ac:dyDescent="0.25">
      <c r="B20" s="3" t="s">
        <v>27</v>
      </c>
      <c r="C20" s="3" t="s">
        <v>27</v>
      </c>
      <c r="D20" s="3" t="s">
        <v>27</v>
      </c>
      <c r="E20" s="3" t="s">
        <v>27</v>
      </c>
      <c r="F20" s="2" t="s">
        <v>17</v>
      </c>
      <c r="G20" s="1"/>
      <c r="H20" s="1"/>
      <c r="I20" s="1"/>
      <c r="J20" s="1"/>
      <c r="K20" s="1"/>
      <c r="L20" s="1"/>
      <c r="M20" s="1"/>
      <c r="N20" s="1"/>
      <c r="O20" s="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</row>
    <row r="21" spans="2:87" ht="33.6" customHeight="1" x14ac:dyDescent="0.25">
      <c r="B21" s="3">
        <f>E21*D21*C21</f>
        <v>528</v>
      </c>
      <c r="C21" s="3">
        <v>0.1</v>
      </c>
      <c r="D21" s="3">
        <v>1320</v>
      </c>
      <c r="E21" s="3">
        <v>4</v>
      </c>
      <c r="F21" s="2" t="s">
        <v>18</v>
      </c>
      <c r="G21" s="1"/>
      <c r="H21" s="1"/>
      <c r="I21" s="1"/>
      <c r="J21" s="1"/>
      <c r="K21" s="1"/>
      <c r="L21" s="1"/>
      <c r="M21" s="1"/>
      <c r="N21" s="1"/>
      <c r="O21" s="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2:87" ht="33.6" customHeight="1" x14ac:dyDescent="0.25">
      <c r="B22" s="3">
        <f>E22*D22*C22</f>
        <v>528</v>
      </c>
      <c r="C22" s="3">
        <v>0.1</v>
      </c>
      <c r="D22" s="3">
        <v>1320</v>
      </c>
      <c r="E22" s="3">
        <v>4</v>
      </c>
      <c r="F22" s="2" t="s">
        <v>19</v>
      </c>
      <c r="G22" s="1"/>
      <c r="H22" s="1"/>
      <c r="I22" s="1"/>
      <c r="J22" s="1"/>
      <c r="K22" s="1"/>
      <c r="L22" s="1"/>
      <c r="M22" s="1"/>
      <c r="N22" s="1"/>
      <c r="O22" s="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2:87" ht="33.6" customHeight="1" x14ac:dyDescent="0.25">
      <c r="B23" s="3">
        <f>E23*D23*C23</f>
        <v>528</v>
      </c>
      <c r="C23" s="3">
        <v>0.1</v>
      </c>
      <c r="D23" s="3">
        <v>1320</v>
      </c>
      <c r="E23" s="3">
        <v>4</v>
      </c>
      <c r="F23" s="2" t="s">
        <v>20</v>
      </c>
      <c r="G23" s="1"/>
      <c r="H23" s="1"/>
      <c r="I23" s="1"/>
      <c r="J23" s="1"/>
      <c r="K23" s="1"/>
      <c r="L23" s="1"/>
      <c r="M23" s="1"/>
      <c r="N23" s="1"/>
      <c r="O23" s="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2:87" ht="33.6" customHeight="1" x14ac:dyDescent="0.25">
      <c r="B24" s="3">
        <f>E24*D24*C24</f>
        <v>528</v>
      </c>
      <c r="C24" s="3">
        <v>0.1</v>
      </c>
      <c r="D24" s="3">
        <v>1320</v>
      </c>
      <c r="E24" s="3">
        <v>4</v>
      </c>
      <c r="F24" s="2" t="s">
        <v>21</v>
      </c>
      <c r="G24" s="1"/>
      <c r="H24" s="1"/>
      <c r="I24" s="1"/>
      <c r="J24" s="1"/>
      <c r="K24" s="1"/>
      <c r="L24" s="1"/>
      <c r="M24" s="1"/>
      <c r="N24" s="1"/>
      <c r="O24" s="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2:87" ht="33.6" customHeight="1" x14ac:dyDescent="0.25">
      <c r="B25" s="3" t="s">
        <v>27</v>
      </c>
      <c r="C25" s="3" t="s">
        <v>27</v>
      </c>
      <c r="D25" s="3" t="s">
        <v>27</v>
      </c>
      <c r="E25" s="3" t="s">
        <v>27</v>
      </c>
      <c r="F25" s="2" t="s">
        <v>22</v>
      </c>
      <c r="G25" s="1"/>
      <c r="H25" s="1"/>
      <c r="I25" s="1"/>
      <c r="J25" s="1"/>
      <c r="K25" s="1"/>
      <c r="L25" s="1"/>
      <c r="M25" s="1"/>
      <c r="N25" s="1"/>
      <c r="O25" s="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2:87" ht="33.6" customHeight="1" x14ac:dyDescent="0.25">
      <c r="B26" s="3">
        <f>E26*D26*C26</f>
        <v>792</v>
      </c>
      <c r="C26" s="3">
        <v>0.1</v>
      </c>
      <c r="D26" s="3">
        <v>1320</v>
      </c>
      <c r="E26" s="3">
        <v>6</v>
      </c>
      <c r="F26" s="2" t="s">
        <v>23</v>
      </c>
      <c r="G26" s="1"/>
      <c r="H26" s="1"/>
      <c r="I26" s="1"/>
      <c r="J26" s="1"/>
      <c r="K26" s="1"/>
      <c r="L26" s="1"/>
      <c r="M26" s="1"/>
      <c r="N26" s="1"/>
      <c r="O26" s="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2:87" ht="33.6" customHeight="1" x14ac:dyDescent="0.25">
      <c r="B27" s="3">
        <f>E27*D27*C27</f>
        <v>1056</v>
      </c>
      <c r="C27" s="3">
        <v>0.2</v>
      </c>
      <c r="D27" s="3">
        <v>1320</v>
      </c>
      <c r="E27" s="3">
        <v>4</v>
      </c>
      <c r="F27" s="2" t="s">
        <v>24</v>
      </c>
      <c r="G27" s="1"/>
      <c r="H27" s="1"/>
      <c r="I27" s="1"/>
      <c r="J27" s="1"/>
      <c r="K27" s="1"/>
      <c r="L27" s="1"/>
      <c r="M27" s="1"/>
      <c r="N27" s="1"/>
      <c r="O27" s="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2:87" ht="33.6" customHeight="1" x14ac:dyDescent="0.25">
      <c r="B28" s="3">
        <f>E28*D28*C28</f>
        <v>1320</v>
      </c>
      <c r="C28" s="3">
        <v>0.2</v>
      </c>
      <c r="D28" s="3">
        <v>1320</v>
      </c>
      <c r="E28" s="3">
        <v>5</v>
      </c>
      <c r="F28" s="2" t="s">
        <v>25</v>
      </c>
      <c r="G28" s="1"/>
      <c r="H28" s="1"/>
      <c r="I28" s="1"/>
      <c r="J28" s="1"/>
      <c r="K28" s="1"/>
      <c r="L28" s="1"/>
      <c r="M28" s="1"/>
      <c r="N28" s="1"/>
      <c r="O28" s="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2:87" ht="33.6" customHeight="1" x14ac:dyDescent="0.25">
      <c r="B29" s="3" t="s">
        <v>27</v>
      </c>
      <c r="C29" s="3" t="s">
        <v>27</v>
      </c>
      <c r="D29" s="3" t="s">
        <v>27</v>
      </c>
      <c r="E29" s="3" t="s">
        <v>27</v>
      </c>
      <c r="F29" s="2" t="s">
        <v>26</v>
      </c>
      <c r="G29" s="1"/>
      <c r="H29" s="1"/>
      <c r="I29" s="1"/>
      <c r="J29" s="1"/>
      <c r="K29" s="1"/>
      <c r="L29" s="1"/>
      <c r="M29" s="1"/>
      <c r="N29" s="1"/>
      <c r="O29" s="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2:87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2:87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5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2:87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3:87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5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3:87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3:87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3:87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  <row r="37" spans="3:87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5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3:87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</row>
    <row r="39" spans="3:87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5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</row>
    <row r="40" spans="3:87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</row>
    <row r="41" spans="3:87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5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</row>
    <row r="42" spans="3:87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</row>
    <row r="43" spans="3:87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5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</row>
    <row r="44" spans="3:87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</row>
    <row r="45" spans="3:87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5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</row>
    <row r="46" spans="3:87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</row>
    <row r="47" spans="3:87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5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</row>
    <row r="48" spans="3:87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</row>
    <row r="49" spans="3:87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</row>
    <row r="50" spans="3:87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</row>
    <row r="51" spans="3:87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5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</row>
    <row r="52" spans="3:87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</row>
    <row r="53" spans="3:87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</row>
    <row r="54" spans="3:87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</row>
    <row r="55" spans="3:87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</row>
    <row r="56" spans="3:87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</row>
    <row r="57" spans="3:87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</row>
    <row r="58" spans="3:87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</row>
    <row r="59" spans="3:87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</row>
    <row r="60" spans="3:87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</row>
    <row r="61" spans="3:87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</row>
    <row r="62" spans="3:87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</row>
    <row r="63" spans="3:87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</row>
    <row r="64" spans="3:87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</row>
    <row r="65" spans="3:87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</row>
    <row r="66" spans="3:87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</row>
    <row r="67" spans="3:87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5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</row>
    <row r="68" spans="3:87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</row>
    <row r="69" spans="3:87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5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</row>
    <row r="70" spans="3:87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</row>
    <row r="71" spans="3:87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5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</row>
    <row r="72" spans="3:87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</row>
    <row r="73" spans="3:87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</row>
    <row r="74" spans="3:87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</row>
    <row r="75" spans="3:87" x14ac:dyDescent="0.25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</row>
    <row r="76" spans="3:87" x14ac:dyDescent="0.25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</row>
    <row r="77" spans="3:87" x14ac:dyDescent="0.25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</row>
    <row r="78" spans="3:87" x14ac:dyDescent="0.25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</row>
    <row r="79" spans="3:87" x14ac:dyDescent="0.25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5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</row>
    <row r="80" spans="3:87" x14ac:dyDescent="0.25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</row>
    <row r="81" spans="3:87" x14ac:dyDescent="0.25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5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</row>
    <row r="82" spans="3:87" x14ac:dyDescent="0.25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</row>
    <row r="83" spans="3:87" x14ac:dyDescent="0.25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5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</row>
    <row r="84" spans="3:87" x14ac:dyDescent="0.25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</row>
    <row r="85" spans="3:87" x14ac:dyDescent="0.2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5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</row>
    <row r="86" spans="3:87" x14ac:dyDescent="0.25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</row>
    <row r="87" spans="3:87" x14ac:dyDescent="0.25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5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</row>
    <row r="88" spans="3:87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</row>
    <row r="89" spans="3:87" x14ac:dyDescent="0.25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5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</row>
    <row r="90" spans="3:87" x14ac:dyDescent="0.25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</row>
    <row r="91" spans="3:87" x14ac:dyDescent="0.25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5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</row>
    <row r="92" spans="3:87" x14ac:dyDescent="0.25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</row>
    <row r="93" spans="3:87" x14ac:dyDescent="0.25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5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</row>
    <row r="94" spans="3:87" x14ac:dyDescent="0.25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</row>
    <row r="95" spans="3:87" x14ac:dyDescent="0.2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5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</row>
    <row r="96" spans="3:87" x14ac:dyDescent="0.25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</row>
    <row r="97" spans="3:87" x14ac:dyDescent="0.25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5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</row>
    <row r="98" spans="3:87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</row>
    <row r="99" spans="3:87" x14ac:dyDescent="0.25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5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</row>
    <row r="100" spans="3:87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</row>
    <row r="101" spans="3:87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5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</row>
    <row r="102" spans="3:87" x14ac:dyDescent="0.25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</row>
    <row r="103" spans="3:87" x14ac:dyDescent="0.25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5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</row>
    <row r="104" spans="3:87" x14ac:dyDescent="0.25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5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</row>
    <row r="105" spans="3:87" x14ac:dyDescent="0.25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</row>
    <row r="106" spans="3:87" x14ac:dyDescent="0.25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5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</row>
    <row r="107" spans="3:87" x14ac:dyDescent="0.25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5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</row>
    <row r="108" spans="3:87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5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</row>
    <row r="109" spans="3:87" x14ac:dyDescent="0.25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5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</row>
    <row r="110" spans="3:87" x14ac:dyDescent="0.25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5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</row>
    <row r="111" spans="3:87" x14ac:dyDescent="0.25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5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</row>
    <row r="112" spans="3:87" x14ac:dyDescent="0.25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5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</row>
    <row r="113" spans="3:87" x14ac:dyDescent="0.25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5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</row>
    <row r="114" spans="3:87" x14ac:dyDescent="0.25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5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</row>
    <row r="115" spans="3:87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5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</row>
    <row r="116" spans="3:87" x14ac:dyDescent="0.25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5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</row>
    <row r="117" spans="3:87" x14ac:dyDescent="0.25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5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</row>
    <row r="118" spans="3:87" x14ac:dyDescent="0.25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5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</row>
    <row r="119" spans="3:87" x14ac:dyDescent="0.25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5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</row>
    <row r="120" spans="3:87" x14ac:dyDescent="0.25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5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</row>
    <row r="121" spans="3:87" x14ac:dyDescent="0.25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5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</row>
    <row r="122" spans="3:87" x14ac:dyDescent="0.25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5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</row>
    <row r="123" spans="3:87" x14ac:dyDescent="0.25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5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</row>
    <row r="124" spans="3:87" x14ac:dyDescent="0.25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5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</row>
    <row r="125" spans="3:87" x14ac:dyDescent="0.25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5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</row>
    <row r="126" spans="3:87" x14ac:dyDescent="0.25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5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</row>
    <row r="127" spans="3:87" x14ac:dyDescent="0.25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5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</row>
    <row r="128" spans="3:87" x14ac:dyDescent="0.25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</row>
    <row r="129" spans="3:87" x14ac:dyDescent="0.25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</row>
    <row r="130" spans="3:87" x14ac:dyDescent="0.25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5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</row>
    <row r="131" spans="3:87" x14ac:dyDescent="0.25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5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</row>
    <row r="132" spans="3:87" x14ac:dyDescent="0.25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5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</row>
    <row r="133" spans="3:87" x14ac:dyDescent="0.25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5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</row>
    <row r="134" spans="3:87" x14ac:dyDescent="0.25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5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</row>
    <row r="135" spans="3:87" x14ac:dyDescent="0.25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5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</row>
    <row r="136" spans="3:87" x14ac:dyDescent="0.25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5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</row>
    <row r="137" spans="3:87" x14ac:dyDescent="0.25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5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</row>
    <row r="138" spans="3:87" x14ac:dyDescent="0.25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5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</row>
    <row r="139" spans="3:87" x14ac:dyDescent="0.25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5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</row>
    <row r="140" spans="3:87" x14ac:dyDescent="0.25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5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</row>
    <row r="141" spans="3:87" x14ac:dyDescent="0.25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5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</row>
    <row r="142" spans="3:87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5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</row>
    <row r="143" spans="3:87" x14ac:dyDescent="0.25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5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</row>
    <row r="144" spans="3:87" x14ac:dyDescent="0.25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5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</row>
    <row r="145" spans="3:87" x14ac:dyDescent="0.25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5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</row>
    <row r="146" spans="3:87" x14ac:dyDescent="0.25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5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</row>
    <row r="147" spans="3:87" x14ac:dyDescent="0.25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5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</row>
    <row r="148" spans="3:87" x14ac:dyDescent="0.25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5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</row>
    <row r="149" spans="3:87" x14ac:dyDescent="0.25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5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</row>
    <row r="150" spans="3:87" x14ac:dyDescent="0.25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5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</row>
    <row r="151" spans="3:87" x14ac:dyDescent="0.25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5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</row>
    <row r="152" spans="3:87" x14ac:dyDescent="0.25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5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</row>
    <row r="153" spans="3:87" x14ac:dyDescent="0.25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5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</row>
    <row r="154" spans="3:87" x14ac:dyDescent="0.25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5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</row>
    <row r="155" spans="3:87" x14ac:dyDescent="0.25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5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</row>
    <row r="156" spans="3:87" x14ac:dyDescent="0.25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5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</row>
    <row r="157" spans="3:87" x14ac:dyDescent="0.25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5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</row>
    <row r="158" spans="3:87" x14ac:dyDescent="0.25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5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</row>
    <row r="159" spans="3:87" x14ac:dyDescent="0.25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5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</row>
    <row r="160" spans="3:87" x14ac:dyDescent="0.25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5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</row>
    <row r="161" spans="3:87" x14ac:dyDescent="0.25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5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</row>
    <row r="162" spans="3:87" x14ac:dyDescent="0.25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5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</row>
    <row r="163" spans="3:87" x14ac:dyDescent="0.25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5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</row>
    <row r="164" spans="3:87" x14ac:dyDescent="0.25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5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</row>
    <row r="165" spans="3:87" x14ac:dyDescent="0.25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5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</row>
    <row r="166" spans="3:87" x14ac:dyDescent="0.25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5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</row>
    <row r="167" spans="3:87" x14ac:dyDescent="0.25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5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</row>
    <row r="168" spans="3:87" x14ac:dyDescent="0.25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5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</row>
    <row r="169" spans="3:87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5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</row>
    <row r="170" spans="3:87" x14ac:dyDescent="0.25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5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</row>
    <row r="171" spans="3:87" x14ac:dyDescent="0.25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5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</row>
    <row r="172" spans="3:87" x14ac:dyDescent="0.25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5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</row>
    <row r="173" spans="3:87" x14ac:dyDescent="0.25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5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</row>
    <row r="174" spans="3:87" x14ac:dyDescent="0.25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5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</row>
    <row r="175" spans="3:87" x14ac:dyDescent="0.25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5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</row>
    <row r="176" spans="3:87" x14ac:dyDescent="0.25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5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</row>
    <row r="177" spans="3:87" x14ac:dyDescent="0.25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5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</row>
    <row r="178" spans="3:87" x14ac:dyDescent="0.25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5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</row>
    <row r="179" spans="3:87" x14ac:dyDescent="0.25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5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</row>
    <row r="180" spans="3:87" x14ac:dyDescent="0.25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5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</row>
    <row r="181" spans="3:87" x14ac:dyDescent="0.25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5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</row>
    <row r="182" spans="3:87" x14ac:dyDescent="0.25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5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</row>
    <row r="183" spans="3:87" x14ac:dyDescent="0.25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5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</row>
    <row r="184" spans="3:87" x14ac:dyDescent="0.25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5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</row>
    <row r="185" spans="3:87" x14ac:dyDescent="0.25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5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</row>
    <row r="186" spans="3:87" x14ac:dyDescent="0.25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5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</row>
    <row r="187" spans="3:87" x14ac:dyDescent="0.25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5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</row>
    <row r="188" spans="3:87" x14ac:dyDescent="0.25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5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</row>
    <row r="189" spans="3:87" x14ac:dyDescent="0.25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5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</row>
    <row r="190" spans="3:87" x14ac:dyDescent="0.25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5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</row>
    <row r="191" spans="3:87" x14ac:dyDescent="0.25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5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</row>
    <row r="192" spans="3:87" x14ac:dyDescent="0.25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5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</row>
    <row r="193" spans="3:87" x14ac:dyDescent="0.25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5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</row>
    <row r="194" spans="3:87" x14ac:dyDescent="0.25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5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</row>
    <row r="195" spans="3:87" x14ac:dyDescent="0.25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5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</row>
    <row r="196" spans="3:87" x14ac:dyDescent="0.25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5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</row>
    <row r="197" spans="3:87" x14ac:dyDescent="0.25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5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</row>
    <row r="198" spans="3:87" x14ac:dyDescent="0.25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5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</row>
    <row r="199" spans="3:87" x14ac:dyDescent="0.25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5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</row>
    <row r="200" spans="3:87" x14ac:dyDescent="0.25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5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</row>
    <row r="201" spans="3:87" x14ac:dyDescent="0.25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5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</row>
    <row r="202" spans="3:87" x14ac:dyDescent="0.25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5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</row>
    <row r="203" spans="3:87" x14ac:dyDescent="0.25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5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</row>
    <row r="204" spans="3:87" x14ac:dyDescent="0.25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5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</row>
    <row r="205" spans="3:87" x14ac:dyDescent="0.25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5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</row>
    <row r="206" spans="3:87" x14ac:dyDescent="0.25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5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</row>
    <row r="207" spans="3:87" x14ac:dyDescent="0.25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5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</row>
    <row r="208" spans="3:87" x14ac:dyDescent="0.25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5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</row>
    <row r="209" spans="3:87" x14ac:dyDescent="0.25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5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</row>
    <row r="210" spans="3:87" x14ac:dyDescent="0.25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5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</row>
    <row r="211" spans="3:87" x14ac:dyDescent="0.25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5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</row>
    <row r="212" spans="3:87" x14ac:dyDescent="0.25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5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</row>
    <row r="213" spans="3:87" x14ac:dyDescent="0.25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5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</row>
    <row r="214" spans="3:87" x14ac:dyDescent="0.25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5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</row>
    <row r="215" spans="3:87" x14ac:dyDescent="0.25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5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</row>
    <row r="216" spans="3:87" x14ac:dyDescent="0.25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5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</row>
    <row r="217" spans="3:87" x14ac:dyDescent="0.25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5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</row>
    <row r="218" spans="3:87" x14ac:dyDescent="0.25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5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</row>
    <row r="219" spans="3:87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5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</row>
    <row r="220" spans="3:87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5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</row>
    <row r="221" spans="3:87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5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</row>
    <row r="222" spans="3:87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5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</row>
    <row r="223" spans="3:87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5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</row>
    <row r="224" spans="3:87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5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</row>
    <row r="225" spans="3:87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5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</row>
    <row r="226" spans="3:87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5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</row>
    <row r="227" spans="3:87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5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</row>
    <row r="228" spans="3:87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5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</row>
    <row r="229" spans="3:87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5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</row>
    <row r="230" spans="3:87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5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</row>
    <row r="231" spans="3:87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5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</row>
    <row r="232" spans="3:87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5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</row>
    <row r="233" spans="3:87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5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</row>
    <row r="234" spans="3:87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5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</row>
    <row r="235" spans="3:87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5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</row>
    <row r="236" spans="3:87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5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</row>
    <row r="237" spans="3:87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5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</row>
    <row r="238" spans="3:87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5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</row>
    <row r="239" spans="3:87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5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</row>
    <row r="240" spans="3:87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5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</row>
  </sheetData>
  <mergeCells count="3">
    <mergeCell ref="B2:F2"/>
    <mergeCell ref="R2:X2"/>
    <mergeCell ref="H2:P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2025-07-18T14:25:53Z</dcterms:modified>
</cp:coreProperties>
</file>