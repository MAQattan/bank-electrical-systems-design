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oham\Desktop\projects\مشروع البنك\Excel\"/>
    </mc:Choice>
  </mc:AlternateContent>
  <xr:revisionPtr revIDLastSave="0" documentId="13_ncr:1_{36B50164-0E3B-4FB8-935B-57ED7878E3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" i="1" l="1"/>
  <c r="AN6" i="1"/>
  <c r="AM7" i="1"/>
  <c r="AN7" i="1"/>
  <c r="AM8" i="1"/>
  <c r="AN8" i="1"/>
  <c r="AN5" i="1"/>
  <c r="AM5" i="1"/>
  <c r="AK6" i="1"/>
  <c r="AL6" i="1"/>
  <c r="AK7" i="1"/>
  <c r="AL7" i="1"/>
  <c r="AK8" i="1"/>
  <c r="AL8" i="1"/>
  <c r="AL5" i="1"/>
  <c r="AK5" i="1"/>
  <c r="AA5" i="1"/>
  <c r="AC5" i="1" s="1"/>
  <c r="AE5" i="1" s="1"/>
  <c r="AA6" i="1"/>
  <c r="AC6" i="1" s="1"/>
  <c r="AE6" i="1" s="1"/>
  <c r="AA7" i="1"/>
  <c r="AC7" i="1" s="1"/>
  <c r="AE7" i="1" s="1"/>
  <c r="AA8" i="1"/>
  <c r="AC8" i="1" s="1"/>
  <c r="AE8" i="1" s="1"/>
</calcChain>
</file>

<file path=xl/sharedStrings.xml><?xml version="1.0" encoding="utf-8"?>
<sst xmlns="http://schemas.openxmlformats.org/spreadsheetml/2006/main" count="190" uniqueCount="103">
  <si>
    <t>Room</t>
  </si>
  <si>
    <t xml:space="preserve">Entrance </t>
  </si>
  <si>
    <t>Guard room</t>
  </si>
  <si>
    <t xml:space="preserve">waiting </t>
  </si>
  <si>
    <t>ATM</t>
  </si>
  <si>
    <t>Cash counters</t>
  </si>
  <si>
    <t>Support office</t>
  </si>
  <si>
    <t>Custmers service</t>
  </si>
  <si>
    <t>Guard</t>
  </si>
  <si>
    <t>Vault Room</t>
  </si>
  <si>
    <t xml:space="preserve">Filling office </t>
  </si>
  <si>
    <t>M.WC</t>
  </si>
  <si>
    <t>F.WC</t>
  </si>
  <si>
    <t xml:space="preserve">Janitor </t>
  </si>
  <si>
    <t>Mec.room</t>
  </si>
  <si>
    <t>Storage</t>
  </si>
  <si>
    <t xml:space="preserve">Staff ent controle </t>
  </si>
  <si>
    <t>First floor corridors</t>
  </si>
  <si>
    <t>Negotiation office</t>
  </si>
  <si>
    <t xml:space="preserve">Clerk office </t>
  </si>
  <si>
    <t xml:space="preserve">Auditing </t>
  </si>
  <si>
    <t>Credit office</t>
  </si>
  <si>
    <t xml:space="preserve">Second floor corridors </t>
  </si>
  <si>
    <t xml:space="preserve">Meeting room </t>
  </si>
  <si>
    <t>Secretary room</t>
  </si>
  <si>
    <t xml:space="preserve">Manager room </t>
  </si>
  <si>
    <t xml:space="preserve">Third floor corridors </t>
  </si>
  <si>
    <t>-</t>
  </si>
  <si>
    <t>Wall‑mounted</t>
  </si>
  <si>
    <t>Ceiling cassette</t>
  </si>
  <si>
    <t xml:space="preserve">نوع </t>
  </si>
  <si>
    <t>قدرة التبريد بالطن</t>
  </si>
  <si>
    <t>على الحائط</t>
  </si>
  <si>
    <t>سقف معلق</t>
  </si>
  <si>
    <t>التركيب</t>
  </si>
  <si>
    <t>الآلة</t>
  </si>
  <si>
    <t xml:space="preserve">استطاعتها </t>
  </si>
  <si>
    <t>PF</t>
  </si>
  <si>
    <t>جهدها</t>
  </si>
  <si>
    <t xml:space="preserve">تيارها </t>
  </si>
  <si>
    <t>تغذيتها</t>
  </si>
  <si>
    <t>60 KW</t>
  </si>
  <si>
    <t>380 V</t>
  </si>
  <si>
    <t>نظام تكييف VRV</t>
  </si>
  <si>
    <t>المصعد</t>
  </si>
  <si>
    <t xml:space="preserve">مضخة المياة </t>
  </si>
  <si>
    <t>مضخة الطوارئ</t>
  </si>
  <si>
    <t>H</t>
  </si>
  <si>
    <t>W</t>
  </si>
  <si>
    <t>L</t>
  </si>
  <si>
    <t>الأبعاد [m]</t>
  </si>
  <si>
    <t>الوزن</t>
  </si>
  <si>
    <t>تفاصيل أخرى</t>
  </si>
  <si>
    <t>النوع</t>
  </si>
  <si>
    <t>Traction</t>
  </si>
  <si>
    <t>VRV IV S-Series</t>
  </si>
  <si>
    <t>الطراز RXYQ60T</t>
  </si>
  <si>
    <t>السعة 6 أشخاص (450kg)</t>
  </si>
  <si>
    <t>5.5 KW</t>
  </si>
  <si>
    <t> Centrifugal Multistage</t>
  </si>
  <si>
    <t>10A</t>
  </si>
  <si>
    <t>98A</t>
  </si>
  <si>
    <t>6A</t>
  </si>
  <si>
    <t>20kg</t>
  </si>
  <si>
    <t>150kg</t>
  </si>
  <si>
    <t>الطراز  Grundfos CM3-4</t>
  </si>
  <si>
    <t>Multistage Fire Pump</t>
  </si>
  <si>
    <t>3KW</t>
  </si>
  <si>
    <t> 1.5 KW</t>
  </si>
  <si>
    <t>5A</t>
  </si>
  <si>
    <t>25kg</t>
  </si>
  <si>
    <t>الطراز Wilo‑Stratos 50/1‑12 EM</t>
  </si>
  <si>
    <t>1200kg</t>
  </si>
  <si>
    <t>عامل التصحيح F</t>
  </si>
  <si>
    <t>∆U%</t>
  </si>
  <si>
    <t xml:space="preserve">P [W] </t>
  </si>
  <si>
    <t>Un [V]</t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</si>
  <si>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cut</t>
    </r>
    <r>
      <rPr>
        <b/>
        <sz val="12"/>
        <color theme="1"/>
        <rFont val="Times New Roman"/>
        <family val="1"/>
        <scheme val="major"/>
      </rPr>
      <t xml:space="preserve"> [KA]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</si>
  <si>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NCB</t>
    </r>
    <r>
      <rPr>
        <b/>
        <sz val="12"/>
        <color theme="1"/>
        <rFont val="Times New Roman"/>
        <family val="1"/>
        <scheme val="major"/>
      </rPr>
      <t xml:space="preserve"> [A]</t>
    </r>
  </si>
  <si>
    <t>التماسات</t>
  </si>
  <si>
    <t>نورم الكابل</t>
  </si>
  <si>
    <t>3p</t>
  </si>
  <si>
    <t>110 &lt; 125 &lt; 168</t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</si>
  <si>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 xml:space="preserve">D </t>
    </r>
    <r>
      <rPr>
        <b/>
        <sz val="12"/>
        <color theme="1"/>
        <rFont val="Times New Roman"/>
        <family val="1"/>
        <scheme val="major"/>
      </rPr>
      <t>&lt; I</t>
    </r>
    <r>
      <rPr>
        <b/>
        <vertAlign val="subscript"/>
        <sz val="12"/>
        <color theme="1"/>
        <rFont val="Times New Roman"/>
        <family val="1"/>
        <scheme val="major"/>
      </rPr>
      <t xml:space="preserve">NCB </t>
    </r>
    <r>
      <rPr>
        <b/>
        <sz val="12"/>
        <color theme="1"/>
        <rFont val="Times New Roman"/>
        <family val="1"/>
        <scheme val="major"/>
      </rPr>
      <t>&lt; I</t>
    </r>
    <r>
      <rPr>
        <b/>
        <vertAlign val="subscript"/>
        <sz val="12"/>
        <color theme="1"/>
        <rFont val="Times New Roman"/>
        <family val="1"/>
        <scheme val="major"/>
      </rPr>
      <t>z</t>
    </r>
  </si>
  <si>
    <t>12 &lt; 20 &lt; 36</t>
  </si>
  <si>
    <t>4 &lt; 16 &lt; 27</t>
  </si>
  <si>
    <t>7 &lt; 16 &lt; 27</t>
  </si>
  <si>
    <t xml:space="preserve">مواصفات وحدات التكييف الداخلية </t>
  </si>
  <si>
    <t xml:space="preserve">جدول مواصفات الآلات </t>
  </si>
  <si>
    <t xml:space="preserve">جدول حسابات تفريعات الآلات </t>
  </si>
  <si>
    <t>رقم الآلة</t>
  </si>
  <si>
    <t>جدول مواصفات قواطع تفريعات المآخذ الخاصة</t>
  </si>
  <si>
    <r>
      <t>I</t>
    </r>
    <r>
      <rPr>
        <b/>
        <vertAlign val="subscript"/>
        <sz val="11"/>
        <color theme="1"/>
        <rFont val="Times New Roman"/>
        <family val="1"/>
        <scheme val="major"/>
      </rPr>
      <t>D</t>
    </r>
  </si>
  <si>
    <r>
      <t>A [mm</t>
    </r>
    <r>
      <rPr>
        <b/>
        <vertAlign val="superscript"/>
        <sz val="11"/>
        <color theme="1"/>
        <rFont val="Times New Roman"/>
        <family val="1"/>
        <scheme val="major"/>
      </rPr>
      <t>2</t>
    </r>
    <r>
      <rPr>
        <b/>
        <sz val="11"/>
        <color theme="1"/>
        <rFont val="Times New Roman"/>
        <family val="1"/>
        <scheme val="major"/>
      </rPr>
      <t>]</t>
    </r>
  </si>
  <si>
    <r>
      <t>XLPE (3×50+25)+25 mm</t>
    </r>
    <r>
      <rPr>
        <vertAlign val="superscript"/>
        <sz val="11"/>
        <color theme="1"/>
        <rFont val="Times New Roman"/>
        <family val="1"/>
        <scheme val="major"/>
      </rPr>
      <t>2</t>
    </r>
  </si>
  <si>
    <t>3Ø</t>
  </si>
  <si>
    <r>
      <t>XLPE (3×4+2.5)+2.5 mm</t>
    </r>
    <r>
      <rPr>
        <vertAlign val="superscript"/>
        <sz val="11"/>
        <color theme="1"/>
        <rFont val="Times New Roman"/>
        <family val="1"/>
        <scheme val="major"/>
      </rPr>
      <t>2</t>
    </r>
  </si>
  <si>
    <r>
      <t>XLPE (3×2.5+1.5)+1.5 mm</t>
    </r>
    <r>
      <rPr>
        <vertAlign val="superscript"/>
        <sz val="11"/>
        <color theme="1"/>
        <rFont val="Times New Roman"/>
        <family val="1"/>
        <scheme val="major"/>
      </rPr>
      <t>2</t>
    </r>
  </si>
  <si>
    <t>الاستطاعة</t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</si>
  <si>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r1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</si>
  <si>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r2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</si>
  <si>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m1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</si>
  <si>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m2</t>
    </r>
    <r>
      <rPr>
        <b/>
        <sz val="12"/>
        <color theme="1"/>
        <rFont val="Times New Roman"/>
        <family val="1"/>
        <scheme val="major"/>
      </rPr>
      <t xml:space="preserve"> [A]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</si>
</sst>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2"/>
      <color theme="1"/>
      <name val="Times New Roman"/>
      <family val="1"/>
      <scheme val="major"/>
    </font>
    <font>
      <b/>
      <vertAlign val="subscript"/>
      <sz val="12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20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vertAlign val="subscript"/>
      <sz val="11"/>
      <color theme="1"/>
      <name val="Times New Roman"/>
      <family val="1"/>
      <scheme val="major"/>
    </font>
    <font>
      <b/>
      <vertAlign val="superscript"/>
      <sz val="11"/>
      <color theme="1"/>
      <name val="Times New Roman"/>
      <family val="1"/>
      <scheme val="major"/>
    </font>
    <font>
      <vertAlign val="superscript"/>
      <sz val="11"/>
      <color theme="1"/>
      <name val="Times New Roman"/>
      <family val="1"/>
      <scheme val="major"/>
    </font>
    <font>
      <b/>
      <sz val="16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8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6"/>
  <sheetViews>
    <sheetView rightToLeft="1" tabSelected="1" topLeftCell="AC1" zoomScale="115" zoomScaleNormal="115" workbookViewId="0">
      <selection activeCell="AH3" sqref="AH3:AP8"/>
    </sheetView>
  </sheetViews>
  <sheetFormatPr defaultRowHeight="13.8" x14ac:dyDescent="0.25"/>
  <cols>
    <col min="1" max="1" width="8.796875" style="3"/>
    <col min="2" max="2" width="23.19921875" style="3" bestFit="1" customWidth="1"/>
    <col min="3" max="3" width="14.296875" style="3" bestFit="1" customWidth="1"/>
    <col min="4" max="4" width="11.5" style="3" bestFit="1" customWidth="1"/>
    <col min="5" max="7" width="8.796875" style="3"/>
    <col min="8" max="8" width="11.3984375" style="3" bestFit="1" customWidth="1"/>
    <col min="9" max="9" width="13.796875" style="3" customWidth="1"/>
    <col min="10" max="10" width="18.8984375" style="3" bestFit="1" customWidth="1"/>
    <col min="11" max="11" width="6.59765625" style="3" customWidth="1"/>
    <col min="12" max="14" width="8.796875" style="3"/>
    <col min="15" max="15" width="7.19921875" style="3" customWidth="1"/>
    <col min="16" max="16" width="6.09765625" style="3" customWidth="1"/>
    <col min="17" max="19" width="8.796875" style="3"/>
    <col min="20" max="20" width="25.5" style="3" bestFit="1" customWidth="1"/>
    <col min="21" max="22" width="8.796875" style="3"/>
    <col min="23" max="23" width="11.3984375" style="3" bestFit="1" customWidth="1"/>
    <col min="24" max="29" width="8.796875" style="3"/>
    <col min="30" max="31" width="8.796875" style="4"/>
    <col min="32" max="32" width="24.5" style="4" bestFit="1" customWidth="1"/>
    <col min="33" max="33" width="8.796875" style="4" customWidth="1"/>
    <col min="34" max="34" width="11.3984375" style="4" customWidth="1"/>
    <col min="35" max="35" width="6.59765625" style="4" customWidth="1"/>
    <col min="36" max="36" width="9.09765625" style="4" customWidth="1"/>
    <col min="37" max="40" width="7.59765625" style="4" customWidth="1"/>
    <col min="41" max="41" width="14.296875" style="4" customWidth="1"/>
    <col min="42" max="44" width="8.796875" style="4"/>
  </cols>
  <sheetData>
    <row r="1" spans="2:42" ht="25.2" customHeight="1" x14ac:dyDescent="0.25"/>
    <row r="2" spans="2:42" ht="25.2" customHeight="1" x14ac:dyDescent="0.25">
      <c r="O2" s="4"/>
    </row>
    <row r="3" spans="2:42" ht="25.2" customHeight="1" x14ac:dyDescent="0.25">
      <c r="B3" s="12" t="s">
        <v>87</v>
      </c>
      <c r="C3" s="12"/>
      <c r="D3" s="12"/>
      <c r="E3" s="12"/>
      <c r="F3" s="12"/>
      <c r="H3" s="12" t="s">
        <v>88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W3" s="12" t="s">
        <v>89</v>
      </c>
      <c r="X3" s="12"/>
      <c r="Y3" s="12"/>
      <c r="Z3" s="12"/>
      <c r="AA3" s="12"/>
      <c r="AB3" s="12"/>
      <c r="AC3" s="12"/>
      <c r="AD3" s="12"/>
      <c r="AE3" s="12"/>
      <c r="AF3" s="12"/>
      <c r="AH3" s="13" t="s">
        <v>91</v>
      </c>
      <c r="AI3" s="13"/>
      <c r="AJ3" s="13"/>
      <c r="AK3" s="13"/>
      <c r="AL3" s="13"/>
      <c r="AM3" s="13"/>
      <c r="AN3" s="13"/>
      <c r="AO3" s="13"/>
      <c r="AP3" s="13"/>
    </row>
    <row r="4" spans="2:42" ht="30.6" customHeight="1" x14ac:dyDescent="0.25">
      <c r="B4" s="1" t="s">
        <v>0</v>
      </c>
      <c r="C4" s="6" t="s">
        <v>30</v>
      </c>
      <c r="D4" s="6" t="s">
        <v>31</v>
      </c>
      <c r="E4" s="6" t="s">
        <v>98</v>
      </c>
      <c r="F4" s="6" t="s">
        <v>34</v>
      </c>
      <c r="H4" s="14" t="s">
        <v>90</v>
      </c>
      <c r="I4" s="14" t="s">
        <v>35</v>
      </c>
      <c r="J4" s="14" t="s">
        <v>53</v>
      </c>
      <c r="K4" s="14" t="s">
        <v>50</v>
      </c>
      <c r="L4" s="14"/>
      <c r="M4" s="14"/>
      <c r="N4" s="14" t="s">
        <v>40</v>
      </c>
      <c r="O4" s="14" t="s">
        <v>36</v>
      </c>
      <c r="P4" s="14" t="s">
        <v>37</v>
      </c>
      <c r="Q4" s="14" t="s">
        <v>38</v>
      </c>
      <c r="R4" s="14" t="s">
        <v>39</v>
      </c>
      <c r="S4" s="15" t="s">
        <v>51</v>
      </c>
      <c r="T4" s="14" t="s">
        <v>52</v>
      </c>
      <c r="W4" s="6" t="s">
        <v>35</v>
      </c>
      <c r="X4" s="6" t="s">
        <v>75</v>
      </c>
      <c r="Y4" s="6" t="s">
        <v>37</v>
      </c>
      <c r="Z4" s="6" t="s">
        <v>76</v>
      </c>
      <c r="AA4" s="6" t="s">
        <v>39</v>
      </c>
      <c r="AB4" s="7" t="s">
        <v>73</v>
      </c>
      <c r="AC4" s="6" t="s">
        <v>92</v>
      </c>
      <c r="AD4" s="6" t="s">
        <v>93</v>
      </c>
      <c r="AE4" s="6" t="s">
        <v>74</v>
      </c>
      <c r="AF4" s="6" t="s">
        <v>80</v>
      </c>
      <c r="AG4" s="3"/>
      <c r="AH4" s="6" t="s">
        <v>35</v>
      </c>
      <c r="AI4" s="1" t="s">
        <v>79</v>
      </c>
      <c r="AJ4" s="1" t="s">
        <v>78</v>
      </c>
      <c r="AK4" s="1" t="s">
        <v>99</v>
      </c>
      <c r="AL4" s="1" t="s">
        <v>100</v>
      </c>
      <c r="AM4" s="1" t="s">
        <v>101</v>
      </c>
      <c r="AN4" s="1" t="s">
        <v>102</v>
      </c>
      <c r="AO4" s="1" t="s">
        <v>83</v>
      </c>
      <c r="AP4" s="1" t="s">
        <v>77</v>
      </c>
    </row>
    <row r="5" spans="2:42" ht="25.2" customHeight="1" x14ac:dyDescent="0.25">
      <c r="B5" s="1" t="s">
        <v>1</v>
      </c>
      <c r="C5" s="2" t="s">
        <v>27</v>
      </c>
      <c r="D5" s="2" t="s">
        <v>27</v>
      </c>
      <c r="E5" s="2" t="s">
        <v>27</v>
      </c>
      <c r="F5" s="2" t="s">
        <v>27</v>
      </c>
      <c r="H5" s="14"/>
      <c r="I5" s="14"/>
      <c r="J5" s="14"/>
      <c r="K5" s="1" t="s">
        <v>49</v>
      </c>
      <c r="L5" s="1" t="s">
        <v>48</v>
      </c>
      <c r="M5" s="1" t="s">
        <v>47</v>
      </c>
      <c r="N5" s="14"/>
      <c r="O5" s="14"/>
      <c r="P5" s="14"/>
      <c r="Q5" s="14"/>
      <c r="R5" s="14"/>
      <c r="S5" s="15"/>
      <c r="T5" s="14"/>
      <c r="W5" s="2" t="s">
        <v>43</v>
      </c>
      <c r="X5" s="2">
        <v>60000</v>
      </c>
      <c r="Y5" s="2">
        <v>0.95</v>
      </c>
      <c r="Z5" s="2">
        <v>380</v>
      </c>
      <c r="AA5" s="2">
        <f>ROUNDUP((X5)/(SQRT(3)*Z5*Y5),0)</f>
        <v>96</v>
      </c>
      <c r="AB5" s="2">
        <v>0.873</v>
      </c>
      <c r="AC5" s="2">
        <f>ROUNDUP((AA5/AB5),0)</f>
        <v>110</v>
      </c>
      <c r="AD5" s="2">
        <v>50</v>
      </c>
      <c r="AE5" s="2">
        <f>ROUNDUP(((SQRT(3)*((0.0178*20)/AD5)*AC5*Y5)/380)*100,3)</f>
        <v>0.34</v>
      </c>
      <c r="AF5" s="2" t="s">
        <v>94</v>
      </c>
      <c r="AG5" s="3"/>
      <c r="AH5" s="2" t="s">
        <v>43</v>
      </c>
      <c r="AI5" s="2" t="s">
        <v>81</v>
      </c>
      <c r="AJ5" s="2">
        <v>125</v>
      </c>
      <c r="AK5" s="2">
        <f>AJ5*1.13</f>
        <v>141.25</v>
      </c>
      <c r="AL5" s="2">
        <f>AJ5*1.45</f>
        <v>181.25</v>
      </c>
      <c r="AM5" s="2">
        <f>AJ5*10</f>
        <v>1250</v>
      </c>
      <c r="AN5" s="2">
        <f>AJ5*16</f>
        <v>2000</v>
      </c>
      <c r="AO5" s="2" t="s">
        <v>82</v>
      </c>
      <c r="AP5" s="2">
        <v>10</v>
      </c>
    </row>
    <row r="6" spans="2:42" ht="25.2" customHeight="1" x14ac:dyDescent="0.25">
      <c r="B6" s="1" t="s">
        <v>2</v>
      </c>
      <c r="C6" s="5" t="s">
        <v>28</v>
      </c>
      <c r="D6" s="2">
        <v>0.5</v>
      </c>
      <c r="E6" s="2">
        <v>2</v>
      </c>
      <c r="F6" s="2" t="s">
        <v>32</v>
      </c>
      <c r="H6" s="6">
        <v>1</v>
      </c>
      <c r="I6" s="2" t="s">
        <v>43</v>
      </c>
      <c r="J6" s="2" t="s">
        <v>55</v>
      </c>
      <c r="K6" s="2">
        <v>0.33</v>
      </c>
      <c r="L6" s="2">
        <v>0.94</v>
      </c>
      <c r="M6" s="2">
        <v>1.3</v>
      </c>
      <c r="N6" s="2" t="s">
        <v>95</v>
      </c>
      <c r="O6" s="2" t="s">
        <v>41</v>
      </c>
      <c r="P6" s="2">
        <v>0.95</v>
      </c>
      <c r="Q6" s="2" t="s">
        <v>42</v>
      </c>
      <c r="R6" s="2" t="s">
        <v>61</v>
      </c>
      <c r="S6" s="2" t="s">
        <v>64</v>
      </c>
      <c r="T6" s="2" t="s">
        <v>56</v>
      </c>
      <c r="W6" s="2" t="s">
        <v>44</v>
      </c>
      <c r="X6" s="2">
        <v>5500</v>
      </c>
      <c r="Y6" s="2">
        <v>0.8</v>
      </c>
      <c r="Z6" s="2">
        <v>380</v>
      </c>
      <c r="AA6" s="2">
        <f t="shared" ref="AA6:AA8" si="0">ROUNDUP((X6)/(SQRT(3)*Z6*Y6),2)</f>
        <v>10.45</v>
      </c>
      <c r="AB6" s="2">
        <v>0.873</v>
      </c>
      <c r="AC6" s="2">
        <f t="shared" ref="AC6:AC8" si="1">ROUNDUP((AA6/AB6),0)</f>
        <v>12</v>
      </c>
      <c r="AD6" s="2">
        <v>4</v>
      </c>
      <c r="AE6" s="2">
        <f t="shared" ref="AE6:AE8" si="2">ROUNDUP(((SQRT(3)*((0.0178*20)/AD6)*AC6*Y6)/380)*100,3)</f>
        <v>0.39</v>
      </c>
      <c r="AF6" s="2" t="s">
        <v>96</v>
      </c>
      <c r="AG6" s="3"/>
      <c r="AH6" s="2" t="s">
        <v>44</v>
      </c>
      <c r="AI6" s="2" t="s">
        <v>81</v>
      </c>
      <c r="AJ6" s="2">
        <v>20</v>
      </c>
      <c r="AK6" s="2">
        <f t="shared" ref="AK6:AK8" si="3">AJ6*1.13</f>
        <v>22.599999999999998</v>
      </c>
      <c r="AL6" s="2">
        <f t="shared" ref="AL6:AL8" si="4">AJ6*1.45</f>
        <v>29</v>
      </c>
      <c r="AM6" s="2">
        <f t="shared" ref="AM6:AM8" si="5">AJ6*10</f>
        <v>200</v>
      </c>
      <c r="AN6" s="2">
        <f t="shared" ref="AN6:AN8" si="6">AJ6*16</f>
        <v>320</v>
      </c>
      <c r="AO6" s="2" t="s">
        <v>84</v>
      </c>
      <c r="AP6" s="2">
        <v>10</v>
      </c>
    </row>
    <row r="7" spans="2:42" ht="25.2" customHeight="1" x14ac:dyDescent="0.25">
      <c r="B7" s="1" t="s">
        <v>3</v>
      </c>
      <c r="C7" s="5" t="s">
        <v>29</v>
      </c>
      <c r="D7" s="2">
        <v>1</v>
      </c>
      <c r="E7" s="2">
        <v>3.5</v>
      </c>
      <c r="F7" s="2" t="s">
        <v>33</v>
      </c>
      <c r="H7" s="6">
        <v>2</v>
      </c>
      <c r="I7" s="2" t="s">
        <v>44</v>
      </c>
      <c r="J7" s="2" t="s">
        <v>54</v>
      </c>
      <c r="K7" s="2">
        <v>1.5</v>
      </c>
      <c r="L7" s="2">
        <v>1.5</v>
      </c>
      <c r="M7" s="2">
        <v>3</v>
      </c>
      <c r="N7" s="2" t="s">
        <v>95</v>
      </c>
      <c r="O7" s="2" t="s">
        <v>58</v>
      </c>
      <c r="P7" s="2">
        <v>0.9</v>
      </c>
      <c r="Q7" s="2" t="s">
        <v>42</v>
      </c>
      <c r="R7" s="8" t="s">
        <v>60</v>
      </c>
      <c r="S7" s="2" t="s">
        <v>72</v>
      </c>
      <c r="T7" s="2" t="s">
        <v>57</v>
      </c>
      <c r="W7" s="2" t="s">
        <v>45</v>
      </c>
      <c r="X7" s="5">
        <v>1500</v>
      </c>
      <c r="Y7" s="2">
        <v>0.85</v>
      </c>
      <c r="Z7" s="2">
        <v>380</v>
      </c>
      <c r="AA7" s="2">
        <f t="shared" si="0"/>
        <v>2.69</v>
      </c>
      <c r="AB7" s="2">
        <v>0.873</v>
      </c>
      <c r="AC7" s="2">
        <f t="shared" si="1"/>
        <v>4</v>
      </c>
      <c r="AD7" s="2">
        <v>2.5</v>
      </c>
      <c r="AE7" s="2">
        <f t="shared" si="2"/>
        <v>0.221</v>
      </c>
      <c r="AF7" s="2" t="s">
        <v>97</v>
      </c>
      <c r="AG7" s="3"/>
      <c r="AH7" s="2" t="s">
        <v>45</v>
      </c>
      <c r="AI7" s="2" t="s">
        <v>81</v>
      </c>
      <c r="AJ7" s="2">
        <v>16</v>
      </c>
      <c r="AK7" s="2">
        <f t="shared" si="3"/>
        <v>18.079999999999998</v>
      </c>
      <c r="AL7" s="2">
        <f t="shared" si="4"/>
        <v>23.2</v>
      </c>
      <c r="AM7" s="2">
        <f t="shared" si="5"/>
        <v>160</v>
      </c>
      <c r="AN7" s="2">
        <f t="shared" si="6"/>
        <v>256</v>
      </c>
      <c r="AO7" s="2" t="s">
        <v>85</v>
      </c>
      <c r="AP7" s="2">
        <v>6</v>
      </c>
    </row>
    <row r="8" spans="2:42" ht="25.2" customHeight="1" x14ac:dyDescent="0.25">
      <c r="B8" s="1" t="s">
        <v>4</v>
      </c>
      <c r="C8" s="5" t="s">
        <v>27</v>
      </c>
      <c r="D8" s="2" t="s">
        <v>27</v>
      </c>
      <c r="E8" s="2" t="s">
        <v>27</v>
      </c>
      <c r="F8" s="2" t="s">
        <v>27</v>
      </c>
      <c r="H8" s="6">
        <v>3</v>
      </c>
      <c r="I8" s="2" t="s">
        <v>45</v>
      </c>
      <c r="J8" s="2" t="s">
        <v>59</v>
      </c>
      <c r="K8" s="2">
        <v>1.5</v>
      </c>
      <c r="L8" s="2">
        <v>1</v>
      </c>
      <c r="M8" s="2">
        <v>1</v>
      </c>
      <c r="N8" s="2" t="s">
        <v>95</v>
      </c>
      <c r="O8" s="9" t="s">
        <v>68</v>
      </c>
      <c r="P8" s="2">
        <v>0.85</v>
      </c>
      <c r="Q8" s="2" t="s">
        <v>42</v>
      </c>
      <c r="R8" s="2" t="s">
        <v>62</v>
      </c>
      <c r="S8" s="2" t="s">
        <v>63</v>
      </c>
      <c r="T8" s="2" t="s">
        <v>65</v>
      </c>
      <c r="W8" s="2" t="s">
        <v>46</v>
      </c>
      <c r="X8" s="5">
        <v>3000</v>
      </c>
      <c r="Y8" s="2">
        <v>0.85</v>
      </c>
      <c r="Z8" s="2">
        <v>380</v>
      </c>
      <c r="AA8" s="2">
        <f t="shared" si="0"/>
        <v>5.37</v>
      </c>
      <c r="AB8" s="2">
        <v>0.873</v>
      </c>
      <c r="AC8" s="2">
        <f t="shared" si="1"/>
        <v>7</v>
      </c>
      <c r="AD8" s="2">
        <v>2.5</v>
      </c>
      <c r="AE8" s="2">
        <f t="shared" si="2"/>
        <v>0.38700000000000001</v>
      </c>
      <c r="AF8" s="2" t="s">
        <v>97</v>
      </c>
      <c r="AG8" s="3"/>
      <c r="AH8" s="2" t="s">
        <v>46</v>
      </c>
      <c r="AI8" s="2" t="s">
        <v>81</v>
      </c>
      <c r="AJ8" s="2">
        <v>16</v>
      </c>
      <c r="AK8" s="2">
        <f t="shared" si="3"/>
        <v>18.079999999999998</v>
      </c>
      <c r="AL8" s="2">
        <f t="shared" si="4"/>
        <v>23.2</v>
      </c>
      <c r="AM8" s="2">
        <f t="shared" si="5"/>
        <v>160</v>
      </c>
      <c r="AN8" s="2">
        <f t="shared" si="6"/>
        <v>256</v>
      </c>
      <c r="AO8" s="2" t="s">
        <v>86</v>
      </c>
      <c r="AP8" s="2">
        <v>6</v>
      </c>
    </row>
    <row r="9" spans="2:42" ht="25.2" customHeight="1" x14ac:dyDescent="0.25">
      <c r="B9" s="1" t="s">
        <v>5</v>
      </c>
      <c r="C9" s="5" t="s">
        <v>29</v>
      </c>
      <c r="D9" s="2">
        <v>1</v>
      </c>
      <c r="E9" s="2">
        <v>3.5</v>
      </c>
      <c r="F9" s="2" t="s">
        <v>33</v>
      </c>
      <c r="H9" s="6">
        <v>4</v>
      </c>
      <c r="I9" s="2" t="s">
        <v>46</v>
      </c>
      <c r="J9" s="2" t="s">
        <v>66</v>
      </c>
      <c r="K9" s="2">
        <v>2.5</v>
      </c>
      <c r="L9" s="2">
        <v>1.5</v>
      </c>
      <c r="M9" s="2">
        <v>1</v>
      </c>
      <c r="N9" s="2" t="s">
        <v>95</v>
      </c>
      <c r="O9" s="5" t="s">
        <v>67</v>
      </c>
      <c r="P9" s="2">
        <v>0.85</v>
      </c>
      <c r="Q9" s="2" t="s">
        <v>42</v>
      </c>
      <c r="R9" s="2" t="s">
        <v>69</v>
      </c>
      <c r="S9" s="2" t="s">
        <v>70</v>
      </c>
      <c r="T9" s="2" t="s">
        <v>71</v>
      </c>
      <c r="W9" s="10"/>
      <c r="X9" s="10"/>
      <c r="Y9" s="10"/>
      <c r="Z9" s="10"/>
      <c r="AA9" s="10"/>
      <c r="AB9" s="11"/>
      <c r="AC9" s="10"/>
      <c r="AD9" s="10"/>
      <c r="AE9" s="10"/>
      <c r="AF9" s="3"/>
      <c r="AG9" s="3"/>
      <c r="AH9" s="10"/>
      <c r="AI9" s="3"/>
      <c r="AJ9" s="3"/>
      <c r="AK9" s="3"/>
    </row>
    <row r="10" spans="2:42" ht="25.2" customHeight="1" x14ac:dyDescent="0.25">
      <c r="B10" s="1" t="s">
        <v>6</v>
      </c>
      <c r="C10" s="5" t="s">
        <v>28</v>
      </c>
      <c r="D10" s="2">
        <v>0.5</v>
      </c>
      <c r="E10" s="2">
        <v>2</v>
      </c>
      <c r="F10" s="2" t="s">
        <v>32</v>
      </c>
      <c r="AH10" s="3"/>
      <c r="AI10" s="3"/>
      <c r="AJ10" s="3"/>
    </row>
    <row r="11" spans="2:42" ht="25.2" customHeight="1" x14ac:dyDescent="0.25">
      <c r="B11" s="1" t="s">
        <v>7</v>
      </c>
      <c r="C11" s="2" t="s">
        <v>27</v>
      </c>
      <c r="D11" s="2" t="s">
        <v>27</v>
      </c>
      <c r="E11" s="2" t="s">
        <v>27</v>
      </c>
      <c r="F11" s="2" t="s">
        <v>27</v>
      </c>
      <c r="AH11" s="3"/>
      <c r="AI11" s="3"/>
      <c r="AJ11" s="3"/>
    </row>
    <row r="12" spans="2:42" ht="25.2" customHeight="1" x14ac:dyDescent="0.25">
      <c r="B12" s="1" t="s">
        <v>8</v>
      </c>
      <c r="C12" s="5" t="s">
        <v>29</v>
      </c>
      <c r="D12" s="2">
        <v>1</v>
      </c>
      <c r="E12" s="2">
        <v>3.5</v>
      </c>
      <c r="F12" s="2" t="s">
        <v>33</v>
      </c>
    </row>
    <row r="13" spans="2:42" ht="25.2" customHeight="1" x14ac:dyDescent="0.25">
      <c r="B13" s="1" t="s">
        <v>9</v>
      </c>
      <c r="C13" s="5" t="s">
        <v>29</v>
      </c>
      <c r="D13" s="2">
        <v>1</v>
      </c>
      <c r="E13" s="2">
        <v>3.5</v>
      </c>
      <c r="F13" s="2" t="s">
        <v>33</v>
      </c>
    </row>
    <row r="14" spans="2:42" ht="25.2" customHeight="1" x14ac:dyDescent="0.25">
      <c r="B14" s="1" t="s">
        <v>10</v>
      </c>
      <c r="C14" s="5" t="s">
        <v>28</v>
      </c>
      <c r="D14" s="2">
        <v>0.75</v>
      </c>
      <c r="E14" s="2">
        <v>2.5</v>
      </c>
      <c r="F14" s="2" t="s">
        <v>32</v>
      </c>
    </row>
    <row r="15" spans="2:42" ht="25.2" customHeight="1" x14ac:dyDescent="0.25">
      <c r="B15" s="1" t="s">
        <v>11</v>
      </c>
      <c r="C15" s="2" t="s">
        <v>27</v>
      </c>
      <c r="D15" s="2" t="s">
        <v>27</v>
      </c>
      <c r="E15" s="2" t="s">
        <v>27</v>
      </c>
      <c r="F15" s="2" t="s">
        <v>27</v>
      </c>
    </row>
    <row r="16" spans="2:42" ht="25.2" customHeight="1" x14ac:dyDescent="0.25">
      <c r="B16" s="1" t="s">
        <v>12</v>
      </c>
      <c r="C16" s="2" t="s">
        <v>27</v>
      </c>
      <c r="D16" s="2" t="s">
        <v>27</v>
      </c>
      <c r="E16" s="2" t="s">
        <v>27</v>
      </c>
      <c r="F16" s="2" t="s">
        <v>27</v>
      </c>
    </row>
    <row r="17" spans="2:6" ht="25.2" customHeight="1" x14ac:dyDescent="0.25">
      <c r="B17" s="1" t="s">
        <v>13</v>
      </c>
      <c r="C17" s="2" t="s">
        <v>27</v>
      </c>
      <c r="D17" s="2" t="s">
        <v>27</v>
      </c>
      <c r="E17" s="2" t="s">
        <v>27</v>
      </c>
      <c r="F17" s="2" t="s">
        <v>27</v>
      </c>
    </row>
    <row r="18" spans="2:6" ht="25.2" customHeight="1" x14ac:dyDescent="0.25">
      <c r="B18" s="1" t="s">
        <v>14</v>
      </c>
      <c r="C18" s="2" t="s">
        <v>27</v>
      </c>
      <c r="D18" s="2" t="s">
        <v>27</v>
      </c>
      <c r="E18" s="2" t="s">
        <v>27</v>
      </c>
      <c r="F18" s="2" t="s">
        <v>27</v>
      </c>
    </row>
    <row r="19" spans="2:6" ht="25.2" customHeight="1" x14ac:dyDescent="0.25">
      <c r="B19" s="1" t="s">
        <v>15</v>
      </c>
      <c r="C19" s="2" t="s">
        <v>27</v>
      </c>
      <c r="D19" s="2" t="s">
        <v>27</v>
      </c>
      <c r="E19" s="2" t="s">
        <v>27</v>
      </c>
      <c r="F19" s="2" t="s">
        <v>27</v>
      </c>
    </row>
    <row r="20" spans="2:6" ht="25.2" customHeight="1" x14ac:dyDescent="0.25">
      <c r="B20" s="1" t="s">
        <v>16</v>
      </c>
      <c r="C20" s="2" t="s">
        <v>27</v>
      </c>
      <c r="D20" s="2" t="s">
        <v>27</v>
      </c>
      <c r="E20" s="2" t="s">
        <v>27</v>
      </c>
      <c r="F20" s="2" t="s">
        <v>27</v>
      </c>
    </row>
    <row r="21" spans="2:6" ht="25.2" customHeight="1" x14ac:dyDescent="0.25">
      <c r="B21" s="1" t="s">
        <v>17</v>
      </c>
      <c r="C21" s="5" t="s">
        <v>29</v>
      </c>
      <c r="D21" s="2">
        <v>0.75</v>
      </c>
      <c r="E21" s="2">
        <v>2.5</v>
      </c>
      <c r="F21" s="2" t="s">
        <v>33</v>
      </c>
    </row>
    <row r="22" spans="2:6" ht="25.2" customHeight="1" x14ac:dyDescent="0.25">
      <c r="B22" s="1" t="s">
        <v>18</v>
      </c>
      <c r="C22" s="5" t="s">
        <v>28</v>
      </c>
      <c r="D22" s="2">
        <v>1</v>
      </c>
      <c r="E22" s="2">
        <v>3.5</v>
      </c>
      <c r="F22" s="2" t="s">
        <v>32</v>
      </c>
    </row>
    <row r="23" spans="2:6" ht="25.2" customHeight="1" x14ac:dyDescent="0.25">
      <c r="B23" s="1" t="s">
        <v>19</v>
      </c>
      <c r="C23" s="5" t="s">
        <v>28</v>
      </c>
      <c r="D23" s="2">
        <v>0.75</v>
      </c>
      <c r="E23" s="2">
        <v>2.5</v>
      </c>
      <c r="F23" s="2" t="s">
        <v>32</v>
      </c>
    </row>
    <row r="24" spans="2:6" ht="25.2" customHeight="1" x14ac:dyDescent="0.25">
      <c r="B24" s="1" t="s">
        <v>20</v>
      </c>
      <c r="C24" s="5" t="s">
        <v>28</v>
      </c>
      <c r="D24" s="2">
        <v>1</v>
      </c>
      <c r="E24" s="2">
        <v>3.5</v>
      </c>
      <c r="F24" s="2" t="s">
        <v>32</v>
      </c>
    </row>
    <row r="25" spans="2:6" ht="25.2" customHeight="1" x14ac:dyDescent="0.25">
      <c r="B25" s="1" t="s">
        <v>21</v>
      </c>
      <c r="C25" s="5" t="s">
        <v>28</v>
      </c>
      <c r="D25" s="2">
        <v>0.75</v>
      </c>
      <c r="E25" s="2">
        <v>2.5</v>
      </c>
      <c r="F25" s="2" t="s">
        <v>32</v>
      </c>
    </row>
    <row r="26" spans="2:6" ht="25.2" customHeight="1" x14ac:dyDescent="0.25">
      <c r="B26" s="1" t="s">
        <v>22</v>
      </c>
      <c r="C26" s="5" t="s">
        <v>29</v>
      </c>
      <c r="D26" s="2">
        <v>0.75</v>
      </c>
      <c r="E26" s="2">
        <v>2.5</v>
      </c>
      <c r="F26" s="2" t="s">
        <v>33</v>
      </c>
    </row>
    <row r="27" spans="2:6" ht="25.2" customHeight="1" x14ac:dyDescent="0.25">
      <c r="B27" s="1" t="s">
        <v>23</v>
      </c>
      <c r="C27" s="5" t="s">
        <v>29</v>
      </c>
      <c r="D27" s="2">
        <v>1</v>
      </c>
      <c r="E27" s="2">
        <v>3.5</v>
      </c>
      <c r="F27" s="2" t="s">
        <v>33</v>
      </c>
    </row>
    <row r="28" spans="2:6" ht="25.2" customHeight="1" x14ac:dyDescent="0.25">
      <c r="B28" s="1" t="s">
        <v>24</v>
      </c>
      <c r="C28" s="5" t="s">
        <v>28</v>
      </c>
      <c r="D28" s="2">
        <v>0.75</v>
      </c>
      <c r="E28" s="2">
        <v>2.5</v>
      </c>
      <c r="F28" s="2" t="s">
        <v>32</v>
      </c>
    </row>
    <row r="29" spans="2:6" ht="25.2" customHeight="1" x14ac:dyDescent="0.25">
      <c r="B29" s="1" t="s">
        <v>25</v>
      </c>
      <c r="C29" s="5" t="s">
        <v>28</v>
      </c>
      <c r="D29" s="2">
        <v>1</v>
      </c>
      <c r="E29" s="2">
        <v>3.5</v>
      </c>
      <c r="F29" s="2" t="s">
        <v>32</v>
      </c>
    </row>
    <row r="30" spans="2:6" ht="25.2" customHeight="1" x14ac:dyDescent="0.25">
      <c r="B30" s="1" t="s">
        <v>26</v>
      </c>
      <c r="C30" s="5" t="s">
        <v>29</v>
      </c>
      <c r="D30" s="2">
        <v>0.75</v>
      </c>
      <c r="E30" s="2">
        <v>2.5</v>
      </c>
      <c r="F30" s="2" t="s">
        <v>33</v>
      </c>
    </row>
    <row r="31" spans="2:6" ht="25.2" customHeight="1" x14ac:dyDescent="0.25">
      <c r="C31" s="11"/>
    </row>
    <row r="32" spans="2:6" ht="25.2" customHeight="1" x14ac:dyDescent="0.25"/>
    <row r="33" ht="25.2" customHeight="1" x14ac:dyDescent="0.25"/>
    <row r="34" ht="25.2" customHeight="1" x14ac:dyDescent="0.25"/>
    <row r="35" ht="25.2" customHeight="1" x14ac:dyDescent="0.25"/>
    <row r="36" ht="25.2" customHeight="1" x14ac:dyDescent="0.25"/>
  </sheetData>
  <mergeCells count="15">
    <mergeCell ref="B3:F3"/>
    <mergeCell ref="H3:T3"/>
    <mergeCell ref="W3:AF3"/>
    <mergeCell ref="AH3:AP3"/>
    <mergeCell ref="H4:H5"/>
    <mergeCell ref="I4:I5"/>
    <mergeCell ref="N4:N5"/>
    <mergeCell ref="O4:O5"/>
    <mergeCell ref="P4:P5"/>
    <mergeCell ref="Q4:Q5"/>
    <mergeCell ref="R4:R5"/>
    <mergeCell ref="S4:S5"/>
    <mergeCell ref="T4:T5"/>
    <mergeCell ref="J4:J5"/>
    <mergeCell ref="K4:M4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Qattan</dc:creator>
  <cp:lastModifiedBy>M. A. Qattan</cp:lastModifiedBy>
  <dcterms:created xsi:type="dcterms:W3CDTF">2015-06-05T18:17:20Z</dcterms:created>
  <dcterms:modified xsi:type="dcterms:W3CDTF">2025-07-15T15:29:25Z</dcterms:modified>
</cp:coreProperties>
</file>