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1.Mine\projects\مشروع البنك\Excel\"/>
    </mc:Choice>
  </mc:AlternateContent>
  <xr:revisionPtr revIDLastSave="0" documentId="13_ncr:1_{EDED65E2-364E-4D77-BDF2-50A5432032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5" i="1"/>
  <c r="AJ18" i="1"/>
  <c r="AI18" i="1"/>
  <c r="AH18" i="1"/>
  <c r="AG18" i="1"/>
  <c r="AJ17" i="1"/>
  <c r="AI17" i="1"/>
  <c r="AH17" i="1"/>
  <c r="AG17" i="1"/>
  <c r="AJ16" i="1"/>
  <c r="AI16" i="1"/>
  <c r="AH16" i="1"/>
  <c r="AG16" i="1"/>
  <c r="AJ15" i="1"/>
  <c r="AI15" i="1"/>
  <c r="AH15" i="1"/>
  <c r="AG15" i="1"/>
  <c r="W18" i="1"/>
  <c r="W17" i="1"/>
  <c r="W16" i="1"/>
  <c r="W15" i="1"/>
  <c r="O8" i="1"/>
  <c r="N8" i="1"/>
  <c r="L7" i="1"/>
  <c r="Q7" i="1" s="1"/>
  <c r="L6" i="1"/>
  <c r="Q6" i="1" s="1"/>
  <c r="L5" i="1"/>
  <c r="K7" i="1"/>
  <c r="K6" i="1"/>
  <c r="P6" i="1" s="1"/>
  <c r="K5" i="1"/>
  <c r="H7" i="1"/>
  <c r="H5" i="1"/>
  <c r="P5" i="1" l="1"/>
  <c r="P7" i="1"/>
  <c r="H8" i="1"/>
  <c r="L8" i="1"/>
  <c r="Q8" i="1" s="1"/>
  <c r="Y15" i="1"/>
  <c r="AA15" i="1" s="1"/>
  <c r="Y16" i="1"/>
  <c r="AA16" i="1" s="1"/>
  <c r="Y17" i="1"/>
  <c r="AA17" i="1" s="1"/>
  <c r="Y18" i="1"/>
  <c r="AA18" i="1" s="1"/>
  <c r="Q5" i="1"/>
  <c r="K8" i="1"/>
  <c r="P8" i="1" l="1"/>
</calcChain>
</file>

<file path=xl/sharedStrings.xml><?xml version="1.0" encoding="utf-8"?>
<sst xmlns="http://schemas.openxmlformats.org/spreadsheetml/2006/main" count="88" uniqueCount="51">
  <si>
    <t>MDB</t>
  </si>
  <si>
    <t>SDB-1</t>
  </si>
  <si>
    <t>SDB-2</t>
  </si>
  <si>
    <t>SDB-3</t>
  </si>
  <si>
    <t>الآلات</t>
  </si>
  <si>
    <t>التفريعات التي تغذيها كل لوحة</t>
  </si>
  <si>
    <t xml:space="preserve"> الإنارة </t>
  </si>
  <si>
    <t xml:space="preserve"> المآخذ العامة</t>
  </si>
  <si>
    <t xml:space="preserve"> المآخذ الخاصة</t>
  </si>
  <si>
    <t>الرمز</t>
  </si>
  <si>
    <t>p2</t>
  </si>
  <si>
    <t>p3</t>
  </si>
  <si>
    <t>الاستطاعة [W]</t>
  </si>
  <si>
    <t>الاستطاعة الكلية [W]</t>
  </si>
  <si>
    <t>p1,p2</t>
  </si>
  <si>
    <t>p4,p5</t>
  </si>
  <si>
    <t>PF</t>
  </si>
  <si>
    <t>p1,p2,p3,p4,p5,p6</t>
  </si>
  <si>
    <t>p7,p8,p9,p10</t>
  </si>
  <si>
    <t>p11,p12,p13</t>
  </si>
  <si>
    <t xml:space="preserve">اللوحات الفرعية </t>
  </si>
  <si>
    <t>-</t>
  </si>
  <si>
    <t>جميع الآلات</t>
  </si>
  <si>
    <t>اسم اللوحة</t>
  </si>
  <si>
    <t>المجموع</t>
  </si>
  <si>
    <t>Un [V]</t>
  </si>
  <si>
    <t xml:space="preserve">تيارها </t>
  </si>
  <si>
    <t>عامل التصحيح F</t>
  </si>
  <si>
    <r>
      <t>I</t>
    </r>
    <r>
      <rPr>
        <b/>
        <vertAlign val="subscript"/>
        <sz val="11"/>
        <color theme="1"/>
        <rFont val="Times New Roman"/>
        <family val="1"/>
        <scheme val="major"/>
      </rPr>
      <t>D</t>
    </r>
  </si>
  <si>
    <r>
      <t>A [mm</t>
    </r>
    <r>
      <rPr>
        <b/>
        <vertAlign val="superscript"/>
        <sz val="11"/>
        <color theme="1"/>
        <rFont val="Times New Roman"/>
        <family val="1"/>
        <scheme val="major"/>
      </rPr>
      <t>2</t>
    </r>
    <r>
      <rPr>
        <b/>
        <sz val="11"/>
        <color theme="1"/>
        <rFont val="Times New Roman"/>
        <family val="1"/>
        <scheme val="major"/>
      </rPr>
      <t>]</t>
    </r>
  </si>
  <si>
    <t>∆U%</t>
  </si>
  <si>
    <t>نورم الكابل</t>
  </si>
  <si>
    <r>
      <t>XLPE (3×2.5+1.5)+1.5 mm</t>
    </r>
    <r>
      <rPr>
        <vertAlign val="superscript"/>
        <sz val="11"/>
        <color theme="1"/>
        <rFont val="Times New Roman"/>
        <family val="1"/>
        <scheme val="major"/>
      </rPr>
      <t>2</t>
    </r>
  </si>
  <si>
    <t xml:space="preserve">جدول حسابات الكابلات </t>
  </si>
  <si>
    <t>التماسات</t>
  </si>
  <si>
    <r>
      <t>I</t>
    </r>
    <r>
      <rPr>
        <b/>
        <vertAlign val="subscript"/>
        <sz val="12"/>
        <color theme="1"/>
        <rFont val="Times New Roman"/>
        <family val="1"/>
        <scheme val="major"/>
      </rPr>
      <t>NCB</t>
    </r>
    <r>
      <rPr>
        <b/>
        <sz val="12"/>
        <color theme="1"/>
        <rFont val="Times New Roman"/>
        <family val="1"/>
        <scheme val="major"/>
      </rPr>
      <t xml:space="preserve"> [A]</t>
    </r>
  </si>
  <si>
    <r>
      <t>I</t>
    </r>
    <r>
      <rPr>
        <b/>
        <vertAlign val="subscript"/>
        <sz val="12"/>
        <color theme="1"/>
        <rFont val="Times New Roman"/>
        <family val="1"/>
        <scheme val="major"/>
      </rPr>
      <t xml:space="preserve">D </t>
    </r>
    <r>
      <rPr>
        <b/>
        <sz val="12"/>
        <color theme="1"/>
        <rFont val="Times New Roman"/>
        <family val="1"/>
        <scheme val="major"/>
      </rPr>
      <t>&lt; I</t>
    </r>
    <r>
      <rPr>
        <b/>
        <vertAlign val="subscript"/>
        <sz val="12"/>
        <color theme="1"/>
        <rFont val="Times New Roman"/>
        <family val="1"/>
        <scheme val="major"/>
      </rPr>
      <t xml:space="preserve">NCB </t>
    </r>
    <r>
      <rPr>
        <b/>
        <sz val="12"/>
        <color theme="1"/>
        <rFont val="Times New Roman"/>
        <family val="1"/>
        <scheme val="major"/>
      </rPr>
      <t>&lt; I</t>
    </r>
    <r>
      <rPr>
        <b/>
        <vertAlign val="subscript"/>
        <sz val="12"/>
        <color theme="1"/>
        <rFont val="Times New Roman"/>
        <family val="1"/>
        <scheme val="major"/>
      </rPr>
      <t>z</t>
    </r>
  </si>
  <si>
    <r>
      <t>I</t>
    </r>
    <r>
      <rPr>
        <b/>
        <vertAlign val="subscript"/>
        <sz val="12"/>
        <color theme="1"/>
        <rFont val="Times New Roman"/>
        <family val="1"/>
        <scheme val="major"/>
      </rPr>
      <t>cut</t>
    </r>
    <r>
      <rPr>
        <b/>
        <sz val="12"/>
        <color theme="1"/>
        <rFont val="Times New Roman"/>
        <family val="1"/>
        <scheme val="major"/>
      </rPr>
      <t xml:space="preserve"> [KA]</t>
    </r>
  </si>
  <si>
    <t>3p</t>
  </si>
  <si>
    <r>
      <t>I</t>
    </r>
    <r>
      <rPr>
        <b/>
        <vertAlign val="subscript"/>
        <sz val="12"/>
        <color theme="1"/>
        <rFont val="Times New Roman"/>
        <family val="1"/>
        <scheme val="major"/>
      </rPr>
      <t>r1</t>
    </r>
    <r>
      <rPr>
        <b/>
        <sz val="12"/>
        <color theme="1"/>
        <rFont val="Times New Roman"/>
        <family val="1"/>
        <scheme val="major"/>
      </rPr>
      <t xml:space="preserve"> [A]</t>
    </r>
  </si>
  <si>
    <r>
      <t>I</t>
    </r>
    <r>
      <rPr>
        <b/>
        <vertAlign val="subscript"/>
        <sz val="12"/>
        <color theme="1"/>
        <rFont val="Times New Roman"/>
        <family val="1"/>
        <scheme val="major"/>
      </rPr>
      <t>r2</t>
    </r>
    <r>
      <rPr>
        <b/>
        <sz val="12"/>
        <color theme="1"/>
        <rFont val="Times New Roman"/>
        <family val="1"/>
        <scheme val="major"/>
      </rPr>
      <t xml:space="preserve"> [A]</t>
    </r>
  </si>
  <si>
    <r>
      <t>I</t>
    </r>
    <r>
      <rPr>
        <b/>
        <vertAlign val="subscript"/>
        <sz val="12"/>
        <color theme="1"/>
        <rFont val="Times New Roman"/>
        <family val="1"/>
        <scheme val="major"/>
      </rPr>
      <t>m1</t>
    </r>
    <r>
      <rPr>
        <b/>
        <sz val="12"/>
        <color theme="1"/>
        <rFont val="Times New Roman"/>
        <family val="1"/>
        <scheme val="major"/>
      </rPr>
      <t xml:space="preserve"> [A]</t>
    </r>
  </si>
  <si>
    <r>
      <t>I</t>
    </r>
    <r>
      <rPr>
        <b/>
        <vertAlign val="subscript"/>
        <sz val="12"/>
        <color theme="1"/>
        <rFont val="Times New Roman"/>
        <family val="1"/>
        <scheme val="major"/>
      </rPr>
      <t>m2</t>
    </r>
    <r>
      <rPr>
        <b/>
        <sz val="12"/>
        <color theme="1"/>
        <rFont val="Times New Roman"/>
        <family val="1"/>
        <scheme val="major"/>
      </rPr>
      <t xml:space="preserve"> [A]</t>
    </r>
  </si>
  <si>
    <t>11 &lt; 16 &lt; 27</t>
  </si>
  <si>
    <t>187 &lt; 200 &lt; 258</t>
  </si>
  <si>
    <r>
      <t>XLPE (3×6+4)+4 mm</t>
    </r>
    <r>
      <rPr>
        <vertAlign val="superscript"/>
        <sz val="11"/>
        <color theme="1"/>
        <rFont val="Times New Roman"/>
        <family val="1"/>
        <scheme val="major"/>
      </rPr>
      <t>2</t>
    </r>
  </si>
  <si>
    <r>
      <t>XLPE (3×95+50)+50 mm</t>
    </r>
    <r>
      <rPr>
        <vertAlign val="superscript"/>
        <sz val="11"/>
        <color theme="1"/>
        <rFont val="Times New Roman"/>
        <family val="1"/>
        <scheme val="major"/>
      </rPr>
      <t>2</t>
    </r>
  </si>
  <si>
    <t>p1,p4</t>
  </si>
  <si>
    <t>اللوحات الفرعية</t>
  </si>
  <si>
    <t>23 &lt; 32 &lt; 48</t>
  </si>
  <si>
    <t>جدول مواصفات قواطع اللوحات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</si>
</sst>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theme="1"/>
      <name val="Times New Roman"/>
      <family val="1"/>
      <scheme val="major"/>
    </font>
    <font>
      <sz val="10"/>
      <color theme="1"/>
      <name val="Times New Roman"/>
      <family val="1"/>
      <scheme val="major"/>
    </font>
    <font>
      <sz val="9"/>
      <color theme="1"/>
      <name val="Times New Roman"/>
      <family val="1"/>
      <scheme val="major"/>
    </font>
    <font>
      <b/>
      <sz val="11"/>
      <color theme="1"/>
      <name val="Times New Roman"/>
      <family val="1"/>
      <scheme val="major"/>
    </font>
    <font>
      <b/>
      <sz val="12"/>
      <color theme="1"/>
      <name val="Times New Roman"/>
      <family val="1"/>
      <scheme val="major"/>
    </font>
    <font>
      <b/>
      <sz val="14"/>
      <color theme="1"/>
      <name val="Times New Roman"/>
      <family val="1"/>
      <scheme val="major"/>
    </font>
    <font>
      <b/>
      <sz val="12"/>
      <color theme="8" tint="-0.249977111117893"/>
      <name val="Times New Roman"/>
      <family val="1"/>
      <scheme val="major"/>
    </font>
    <font>
      <b/>
      <sz val="18"/>
      <color theme="8" tint="-0.249977111117893"/>
      <name val="Times New Roman"/>
      <family val="1"/>
      <scheme val="major"/>
    </font>
    <font>
      <b/>
      <sz val="11"/>
      <name val="Times New Roman"/>
      <family val="1"/>
      <scheme val="major"/>
    </font>
    <font>
      <b/>
      <sz val="20"/>
      <color theme="1"/>
      <name val="Times New Roman"/>
      <family val="1"/>
      <scheme val="major"/>
    </font>
    <font>
      <b/>
      <vertAlign val="subscript"/>
      <sz val="11"/>
      <color theme="1"/>
      <name val="Times New Roman"/>
      <family val="1"/>
      <scheme val="major"/>
    </font>
    <font>
      <b/>
      <vertAlign val="superscript"/>
      <sz val="11"/>
      <color theme="1"/>
      <name val="Times New Roman"/>
      <family val="1"/>
      <scheme val="major"/>
    </font>
    <font>
      <vertAlign val="superscript"/>
      <sz val="11"/>
      <color theme="1"/>
      <name val="Times New Roman"/>
      <family val="1"/>
      <scheme val="major"/>
    </font>
    <font>
      <b/>
      <vertAlign val="subscript"/>
      <sz val="12"/>
      <color theme="1"/>
      <name val="Times New Roman"/>
      <family val="1"/>
      <scheme val="major"/>
    </font>
    <font>
      <sz val="1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W42"/>
  <sheetViews>
    <sheetView rightToLeft="1" tabSelected="1" topLeftCell="AA8" zoomScale="130" zoomScaleNormal="130" workbookViewId="0">
      <selection activeCell="AD13" sqref="AD13:AL13"/>
    </sheetView>
  </sheetViews>
  <sheetFormatPr defaultRowHeight="13.8" x14ac:dyDescent="0.25"/>
  <cols>
    <col min="1" max="3" width="8.796875" style="1"/>
    <col min="4" max="4" width="10.09765625" style="1" customWidth="1"/>
    <col min="5" max="5" width="9.69921875" style="1" customWidth="1"/>
    <col min="6" max="6" width="6.09765625" style="1" customWidth="1"/>
    <col min="7" max="7" width="10.09765625" style="1" customWidth="1"/>
    <col min="8" max="15" width="8.796875" style="1"/>
    <col min="16" max="17" width="8.796875" style="1" customWidth="1"/>
    <col min="18" max="18" width="8.8984375" style="1" customWidth="1"/>
    <col min="19" max="19" width="12.19921875" style="1" customWidth="1"/>
    <col min="20" max="24" width="8.796875" style="1"/>
    <col min="25" max="25" width="8.796875" style="1" customWidth="1"/>
    <col min="26" max="26" width="7.5" style="1" bestFit="1" customWidth="1"/>
    <col min="27" max="27" width="8.796875" style="1"/>
    <col min="28" max="28" width="22.296875" style="1" bestFit="1" customWidth="1"/>
    <col min="29" max="29" width="8.796875" style="1"/>
    <col min="30" max="30" width="9.296875" style="1" customWidth="1"/>
    <col min="31" max="32" width="8.796875" style="1"/>
    <col min="37" max="37" width="13.5" customWidth="1"/>
    <col min="40" max="40" width="17.3984375" customWidth="1"/>
    <col min="41" max="41" width="26.296875" bestFit="1" customWidth="1"/>
  </cols>
  <sheetData>
    <row r="2" spans="3:38" ht="25.2" customHeight="1" x14ac:dyDescent="0.25">
      <c r="C2" s="17" t="s">
        <v>23</v>
      </c>
      <c r="D2" s="17" t="s">
        <v>5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9" t="s">
        <v>24</v>
      </c>
      <c r="Q2" s="19"/>
    </row>
    <row r="3" spans="3:38" ht="27.6" customHeight="1" x14ac:dyDescent="0.25">
      <c r="C3" s="17"/>
      <c r="D3" s="17" t="s">
        <v>6</v>
      </c>
      <c r="E3" s="17"/>
      <c r="F3" s="17"/>
      <c r="G3" s="17" t="s">
        <v>7</v>
      </c>
      <c r="H3" s="17"/>
      <c r="I3" s="17"/>
      <c r="J3" s="17" t="s">
        <v>8</v>
      </c>
      <c r="K3" s="17"/>
      <c r="L3" s="17"/>
      <c r="M3" s="17" t="s">
        <v>4</v>
      </c>
      <c r="N3" s="17"/>
      <c r="O3" s="17"/>
      <c r="P3" s="19"/>
      <c r="Q3" s="19"/>
    </row>
    <row r="4" spans="3:38" ht="34.200000000000003" customHeight="1" x14ac:dyDescent="0.25">
      <c r="C4" s="17"/>
      <c r="D4" s="3" t="s">
        <v>9</v>
      </c>
      <c r="E4" s="3" t="s">
        <v>13</v>
      </c>
      <c r="F4" s="3" t="s">
        <v>16</v>
      </c>
      <c r="G4" s="3" t="s">
        <v>9</v>
      </c>
      <c r="H4" s="3" t="s">
        <v>13</v>
      </c>
      <c r="I4" s="3" t="s">
        <v>16</v>
      </c>
      <c r="J4" s="3" t="s">
        <v>9</v>
      </c>
      <c r="K4" s="3" t="s">
        <v>13</v>
      </c>
      <c r="L4" s="3" t="s">
        <v>16</v>
      </c>
      <c r="M4" s="3" t="s">
        <v>9</v>
      </c>
      <c r="N4" s="3" t="s">
        <v>13</v>
      </c>
      <c r="O4" s="3" t="s">
        <v>16</v>
      </c>
      <c r="P4" s="4" t="s">
        <v>12</v>
      </c>
      <c r="Q4" s="4" t="s">
        <v>16</v>
      </c>
      <c r="AG4" s="1"/>
    </row>
    <row r="5" spans="3:38" ht="30" customHeight="1" x14ac:dyDescent="0.25">
      <c r="C5" s="3" t="s">
        <v>1</v>
      </c>
      <c r="D5" s="5" t="s">
        <v>47</v>
      </c>
      <c r="E5" s="6">
        <f>1084+1500</f>
        <v>2584</v>
      </c>
      <c r="F5" s="6">
        <v>0.9</v>
      </c>
      <c r="G5" s="5" t="s">
        <v>14</v>
      </c>
      <c r="H5" s="6">
        <f>2244+712.8</f>
        <v>2956.8</v>
      </c>
      <c r="I5" s="6">
        <v>0.8</v>
      </c>
      <c r="J5" s="7" t="s">
        <v>17</v>
      </c>
      <c r="K5" s="6">
        <f>150+600+650+450+450+3000</f>
        <v>5300</v>
      </c>
      <c r="L5" s="6">
        <f>ROUNDUP((0.8+0.8+0.833+0.85+0.85+0.8125)/6,3)</f>
        <v>0.82499999999999996</v>
      </c>
      <c r="M5" s="6" t="s">
        <v>21</v>
      </c>
      <c r="N5" s="6" t="s">
        <v>21</v>
      </c>
      <c r="O5" s="6" t="s">
        <v>21</v>
      </c>
      <c r="P5" s="4">
        <f>E5+H5+K5</f>
        <v>10840.8</v>
      </c>
      <c r="Q5" s="4">
        <f>ROUNDUP((F5+I5+L5)/3,3)</f>
        <v>0.84199999999999997</v>
      </c>
      <c r="AG5" s="1"/>
    </row>
    <row r="6" spans="3:38" ht="30" customHeight="1" x14ac:dyDescent="0.25">
      <c r="C6" s="3" t="s">
        <v>2</v>
      </c>
      <c r="D6" s="5" t="s">
        <v>10</v>
      </c>
      <c r="E6" s="6">
        <v>990</v>
      </c>
      <c r="F6" s="6">
        <v>0.9</v>
      </c>
      <c r="G6" s="5" t="s">
        <v>11</v>
      </c>
      <c r="H6" s="6">
        <v>2112</v>
      </c>
      <c r="I6" s="6">
        <v>0.8</v>
      </c>
      <c r="J6" s="7" t="s">
        <v>18</v>
      </c>
      <c r="K6" s="6">
        <f>450+450+450+450</f>
        <v>1800</v>
      </c>
      <c r="L6" s="6">
        <f>ROUNDUP((0.85+0.85+0.85+0.85)/4,3)</f>
        <v>0.85</v>
      </c>
      <c r="M6" s="6" t="s">
        <v>21</v>
      </c>
      <c r="N6" s="6" t="s">
        <v>21</v>
      </c>
      <c r="O6" s="6" t="s">
        <v>21</v>
      </c>
      <c r="P6" s="4">
        <f>E6+H6+K6</f>
        <v>4902</v>
      </c>
      <c r="Q6" s="4">
        <f t="shared" ref="Q6:Q7" si="0">ROUNDUP((F6+I6+L6)/3,3)</f>
        <v>0.85</v>
      </c>
      <c r="AG6" s="1"/>
    </row>
    <row r="7" spans="3:38" ht="30" customHeight="1" x14ac:dyDescent="0.25">
      <c r="C7" s="3" t="s">
        <v>3</v>
      </c>
      <c r="D7" s="5" t="s">
        <v>11</v>
      </c>
      <c r="E7" s="6">
        <v>892</v>
      </c>
      <c r="F7" s="6">
        <v>0.9</v>
      </c>
      <c r="G7" s="5" t="s">
        <v>15</v>
      </c>
      <c r="H7" s="6">
        <f>1884+1320</f>
        <v>3204</v>
      </c>
      <c r="I7" s="6">
        <v>0.8</v>
      </c>
      <c r="J7" s="7" t="s">
        <v>19</v>
      </c>
      <c r="K7" s="6">
        <f>100+450+450</f>
        <v>1000</v>
      </c>
      <c r="L7" s="6">
        <f>ROUNDUP((0.8+0.85+0.85)/3,3)</f>
        <v>0.83399999999999996</v>
      </c>
      <c r="M7" s="6" t="s">
        <v>21</v>
      </c>
      <c r="N7" s="6" t="s">
        <v>21</v>
      </c>
      <c r="O7" s="6" t="s">
        <v>21</v>
      </c>
      <c r="P7" s="4">
        <f>E7+H7+K7</f>
        <v>5096</v>
      </c>
      <c r="Q7" s="4">
        <f t="shared" si="0"/>
        <v>0.84499999999999997</v>
      </c>
      <c r="AG7" s="1"/>
    </row>
    <row r="8" spans="3:38" ht="30" customHeight="1" x14ac:dyDescent="0.25">
      <c r="C8" s="3" t="s">
        <v>0</v>
      </c>
      <c r="D8" s="7" t="s">
        <v>48</v>
      </c>
      <c r="E8" s="6">
        <f>E5+E6+E7</f>
        <v>4466</v>
      </c>
      <c r="F8" s="6">
        <v>0.9</v>
      </c>
      <c r="G8" s="7" t="s">
        <v>20</v>
      </c>
      <c r="H8" s="6">
        <f>H5+H6+H7</f>
        <v>8272.7999999999993</v>
      </c>
      <c r="I8" s="6">
        <v>0.8</v>
      </c>
      <c r="J8" s="7" t="s">
        <v>20</v>
      </c>
      <c r="K8" s="6">
        <f>K5+K6+K7</f>
        <v>8100</v>
      </c>
      <c r="L8" s="6">
        <f>ROUNDUP((L5+L6+L7)/3,3)</f>
        <v>0.83699999999999997</v>
      </c>
      <c r="M8" s="6" t="s">
        <v>22</v>
      </c>
      <c r="N8" s="6">
        <f>60000+5500+1500+3000</f>
        <v>70000</v>
      </c>
      <c r="O8" s="6">
        <f>ROUNDUP((0.95+0.8+0.85+0.85)/4,3)</f>
        <v>0.86299999999999999</v>
      </c>
      <c r="P8" s="4">
        <f>E8+H8+K8+N8</f>
        <v>90838.8</v>
      </c>
      <c r="Q8" s="4">
        <f>ROUNDUP((F8+I8+L8+O8)/4,3)</f>
        <v>0.85</v>
      </c>
      <c r="AG8" s="1"/>
    </row>
    <row r="12" spans="3:38" x14ac:dyDescent="0.25">
      <c r="Q12" s="2"/>
    </row>
    <row r="13" spans="3:38" ht="24.6" x14ac:dyDescent="0.25">
      <c r="Q13" s="2"/>
      <c r="S13" s="20" t="s">
        <v>33</v>
      </c>
      <c r="T13" s="20"/>
      <c r="U13" s="20"/>
      <c r="V13" s="20"/>
      <c r="W13" s="20"/>
      <c r="X13" s="20"/>
      <c r="Y13" s="20"/>
      <c r="Z13" s="20"/>
      <c r="AA13" s="20"/>
      <c r="AB13" s="20"/>
      <c r="AD13" s="18" t="s">
        <v>50</v>
      </c>
      <c r="AE13" s="18"/>
      <c r="AF13" s="18"/>
      <c r="AG13" s="18"/>
      <c r="AH13" s="18"/>
      <c r="AI13" s="18"/>
      <c r="AJ13" s="18"/>
      <c r="AK13" s="18"/>
      <c r="AL13" s="18"/>
    </row>
    <row r="14" spans="3:38" ht="27.6" x14ac:dyDescent="0.25">
      <c r="S14" s="6" t="s">
        <v>23</v>
      </c>
      <c r="T14" s="8" t="s">
        <v>12</v>
      </c>
      <c r="U14" s="8" t="s">
        <v>16</v>
      </c>
      <c r="V14" s="9" t="s">
        <v>25</v>
      </c>
      <c r="W14" s="9" t="s">
        <v>26</v>
      </c>
      <c r="X14" s="3" t="s">
        <v>27</v>
      </c>
      <c r="Y14" s="9" t="s">
        <v>28</v>
      </c>
      <c r="Z14" s="9" t="s">
        <v>29</v>
      </c>
      <c r="AA14" s="9" t="s">
        <v>30</v>
      </c>
      <c r="AB14" s="9" t="s">
        <v>31</v>
      </c>
      <c r="AD14" s="6" t="s">
        <v>23</v>
      </c>
      <c r="AE14" s="12" t="s">
        <v>34</v>
      </c>
      <c r="AF14" s="12" t="s">
        <v>35</v>
      </c>
      <c r="AG14" s="12" t="s">
        <v>39</v>
      </c>
      <c r="AH14" s="12" t="s">
        <v>40</v>
      </c>
      <c r="AI14" s="12" t="s">
        <v>41</v>
      </c>
      <c r="AJ14" s="12" t="s">
        <v>42</v>
      </c>
      <c r="AK14" s="12" t="s">
        <v>36</v>
      </c>
      <c r="AL14" s="12" t="s">
        <v>37</v>
      </c>
    </row>
    <row r="15" spans="3:38" ht="16.8" x14ac:dyDescent="0.25">
      <c r="S15" s="6" t="s">
        <v>1</v>
      </c>
      <c r="T15" s="13">
        <v>10840.8</v>
      </c>
      <c r="U15" s="13">
        <v>0.84199999999999997</v>
      </c>
      <c r="V15" s="10">
        <v>380</v>
      </c>
      <c r="W15" s="10">
        <f>ROUNDUP((T15)/(SQRT(3)*V15*U15),0)</f>
        <v>20</v>
      </c>
      <c r="X15" s="10">
        <v>0.873</v>
      </c>
      <c r="Y15" s="10">
        <f>ROUNDUP((W15/X15),0)</f>
        <v>23</v>
      </c>
      <c r="Z15" s="10">
        <v>6</v>
      </c>
      <c r="AA15" s="10">
        <f>ROUNDUP(((SQRT(3)*((0.0178*20)/Z15)*Y15*U15)/380)*100,3)</f>
        <v>0.52400000000000002</v>
      </c>
      <c r="AB15" s="10" t="s">
        <v>45</v>
      </c>
      <c r="AD15" s="6" t="s">
        <v>1</v>
      </c>
      <c r="AE15" s="10" t="s">
        <v>38</v>
      </c>
      <c r="AF15" s="10">
        <v>32</v>
      </c>
      <c r="AG15" s="10">
        <f>AF15*1.13</f>
        <v>36.159999999999997</v>
      </c>
      <c r="AH15" s="10">
        <f>AF15*1.45</f>
        <v>46.4</v>
      </c>
      <c r="AI15" s="10">
        <f>AF15*10</f>
        <v>320</v>
      </c>
      <c r="AJ15" s="10">
        <f>AF15*16</f>
        <v>512</v>
      </c>
      <c r="AK15" s="10" t="s">
        <v>49</v>
      </c>
      <c r="AL15" s="10">
        <v>3</v>
      </c>
    </row>
    <row r="16" spans="3:38" ht="16.8" x14ac:dyDescent="0.25">
      <c r="S16" s="6" t="s">
        <v>2</v>
      </c>
      <c r="T16" s="13">
        <v>4902</v>
      </c>
      <c r="U16" s="13">
        <v>0.85</v>
      </c>
      <c r="V16" s="10">
        <v>380</v>
      </c>
      <c r="W16" s="10">
        <f>ROUNDUP((T16)/(SQRT(3)*V16*U16),2)</f>
        <v>8.77</v>
      </c>
      <c r="X16" s="10">
        <v>0.873</v>
      </c>
      <c r="Y16" s="10">
        <f>ROUNDUP((W16/X16),0)</f>
        <v>11</v>
      </c>
      <c r="Z16" s="10">
        <v>2.5</v>
      </c>
      <c r="AA16" s="10">
        <f>ROUNDUP(((SQRT(3)*((0.0178*20)/Z16)*Y16*U16)/380)*100,3)</f>
        <v>0.60699999999999998</v>
      </c>
      <c r="AB16" s="10" t="s">
        <v>32</v>
      </c>
      <c r="AD16" s="6" t="s">
        <v>2</v>
      </c>
      <c r="AE16" s="10" t="s">
        <v>38</v>
      </c>
      <c r="AF16" s="10">
        <v>16</v>
      </c>
      <c r="AG16" s="10">
        <f t="shared" ref="AG16:AG18" si="1">AF16*1.13</f>
        <v>18.079999999999998</v>
      </c>
      <c r="AH16" s="10">
        <f t="shared" ref="AH16:AH18" si="2">AF16*1.45</f>
        <v>23.2</v>
      </c>
      <c r="AI16" s="10">
        <f t="shared" ref="AI16:AI18" si="3">AF16*10</f>
        <v>160</v>
      </c>
      <c r="AJ16" s="10">
        <f t="shared" ref="AJ16:AJ18" si="4">AF16*16</f>
        <v>256</v>
      </c>
      <c r="AK16" s="10" t="s">
        <v>43</v>
      </c>
      <c r="AL16" s="10">
        <v>3</v>
      </c>
    </row>
    <row r="17" spans="19:49" ht="16.8" x14ac:dyDescent="0.25">
      <c r="S17" s="6" t="s">
        <v>3</v>
      </c>
      <c r="T17" s="13">
        <v>5096</v>
      </c>
      <c r="U17" s="13">
        <v>0.84499999999999997</v>
      </c>
      <c r="V17" s="10">
        <v>380</v>
      </c>
      <c r="W17" s="10">
        <f>ROUNDUP((T17)/(SQRT(3)*V17*U17),2)</f>
        <v>9.17</v>
      </c>
      <c r="X17" s="10">
        <v>0.873</v>
      </c>
      <c r="Y17" s="10">
        <f>ROUNDUP((W17/X17),0)</f>
        <v>11</v>
      </c>
      <c r="Z17" s="10">
        <v>2.5</v>
      </c>
      <c r="AA17" s="10">
        <f>ROUNDUP(((SQRT(3)*((0.0178*20)/Z17)*Y17*U17)/380)*100,3)</f>
        <v>0.60399999999999998</v>
      </c>
      <c r="AB17" s="10" t="s">
        <v>32</v>
      </c>
      <c r="AD17" s="6" t="s">
        <v>3</v>
      </c>
      <c r="AE17" s="10" t="s">
        <v>38</v>
      </c>
      <c r="AF17" s="10">
        <v>16</v>
      </c>
      <c r="AG17" s="10">
        <f t="shared" si="1"/>
        <v>18.079999999999998</v>
      </c>
      <c r="AH17" s="10">
        <f t="shared" si="2"/>
        <v>23.2</v>
      </c>
      <c r="AI17" s="10">
        <f t="shared" si="3"/>
        <v>160</v>
      </c>
      <c r="AJ17" s="10">
        <f t="shared" si="4"/>
        <v>256</v>
      </c>
      <c r="AK17" s="10" t="s">
        <v>43</v>
      </c>
      <c r="AL17" s="10">
        <v>3</v>
      </c>
    </row>
    <row r="18" spans="19:49" ht="16.8" x14ac:dyDescent="0.25">
      <c r="S18" s="6" t="s">
        <v>0</v>
      </c>
      <c r="T18" s="13">
        <v>90838.8</v>
      </c>
      <c r="U18" s="13">
        <v>0.85</v>
      </c>
      <c r="V18" s="10">
        <v>380</v>
      </c>
      <c r="W18" s="10">
        <f>ROUNDUP((T18)/(SQRT(3)*V18*U18),2)</f>
        <v>162.38</v>
      </c>
      <c r="X18" s="10">
        <v>0.873</v>
      </c>
      <c r="Y18" s="10">
        <f>ROUNDUP((W18/X18),0)</f>
        <v>187</v>
      </c>
      <c r="Z18" s="10">
        <v>95</v>
      </c>
      <c r="AA18" s="10">
        <f>ROUNDUP(((SQRT(3)*((0.0178*20)/Z18)*Y18*U18)/380)*100,3)</f>
        <v>0.27200000000000002</v>
      </c>
      <c r="AB18" s="10" t="s">
        <v>46</v>
      </c>
      <c r="AD18" s="6" t="s">
        <v>0</v>
      </c>
      <c r="AE18" s="10" t="s">
        <v>38</v>
      </c>
      <c r="AF18" s="10">
        <v>200</v>
      </c>
      <c r="AG18" s="10">
        <f t="shared" si="1"/>
        <v>225.99999999999997</v>
      </c>
      <c r="AH18" s="10">
        <f t="shared" si="2"/>
        <v>290</v>
      </c>
      <c r="AI18" s="10">
        <f t="shared" si="3"/>
        <v>2000</v>
      </c>
      <c r="AJ18" s="10">
        <f t="shared" si="4"/>
        <v>3200</v>
      </c>
      <c r="AK18" s="10" t="s">
        <v>44</v>
      </c>
      <c r="AL18" s="10">
        <v>10</v>
      </c>
    </row>
    <row r="20" spans="19:49" x14ac:dyDescent="0.25">
      <c r="T20" s="11"/>
      <c r="U20" s="11"/>
    </row>
    <row r="21" spans="19:49" x14ac:dyDescent="0.25">
      <c r="T21" s="11"/>
      <c r="U21" s="11"/>
    </row>
    <row r="22" spans="19:49" x14ac:dyDescent="0.25">
      <c r="T22" s="11"/>
      <c r="U22" s="11"/>
    </row>
    <row r="23" spans="19:49" ht="34.799999999999997" customHeight="1" x14ac:dyDescent="0.25">
      <c r="T23" s="11"/>
      <c r="U23" s="11"/>
    </row>
    <row r="24" spans="19:49" ht="34.799999999999997" customHeight="1" x14ac:dyDescent="0.25">
      <c r="T24" s="11"/>
      <c r="U24" s="11"/>
    </row>
    <row r="25" spans="19:49" ht="34.799999999999997" customHeight="1" x14ac:dyDescent="0.25"/>
    <row r="26" spans="19:49" ht="34.799999999999997" customHeight="1" x14ac:dyDescent="0.25"/>
    <row r="27" spans="19:49" ht="34.799999999999997" customHeight="1" x14ac:dyDescent="0.25"/>
    <row r="28" spans="19:49" ht="34.799999999999997" customHeight="1" x14ac:dyDescent="0.25">
      <c r="AW28">
        <v>0</v>
      </c>
    </row>
    <row r="29" spans="19:49" ht="34.799999999999997" customHeight="1" x14ac:dyDescent="0.25"/>
    <row r="30" spans="19:49" ht="34.799999999999997" customHeight="1" x14ac:dyDescent="0.25"/>
    <row r="31" spans="19:49" ht="34.799999999999997" customHeight="1" x14ac:dyDescent="0.25"/>
    <row r="32" spans="19:49" ht="34.799999999999997" customHeight="1" x14ac:dyDescent="0.25"/>
    <row r="33" spans="40:41" ht="34.799999999999997" customHeight="1" x14ac:dyDescent="0.25"/>
    <row r="34" spans="40:41" ht="34.799999999999997" customHeight="1" x14ac:dyDescent="0.25"/>
    <row r="35" spans="40:41" ht="34.799999999999997" customHeight="1" x14ac:dyDescent="0.25"/>
    <row r="36" spans="40:41" ht="34.799999999999997" customHeight="1" x14ac:dyDescent="0.25"/>
    <row r="37" spans="40:41" ht="34.799999999999997" customHeight="1" x14ac:dyDescent="0.25"/>
    <row r="38" spans="40:41" ht="34.799999999999997" customHeight="1" x14ac:dyDescent="0.25"/>
    <row r="39" spans="40:41" ht="34.799999999999997" customHeight="1" x14ac:dyDescent="0.25"/>
    <row r="40" spans="40:41" ht="34.799999999999997" customHeight="1" x14ac:dyDescent="0.25"/>
    <row r="41" spans="40:41" ht="34.799999999999997" customHeight="1" x14ac:dyDescent="0.25">
      <c r="AN41" s="16"/>
      <c r="AO41" s="15"/>
    </row>
    <row r="42" spans="40:41" x14ac:dyDescent="0.25">
      <c r="AN42" s="14"/>
    </row>
  </sheetData>
  <mergeCells count="9">
    <mergeCell ref="C2:C4"/>
    <mergeCell ref="D3:F3"/>
    <mergeCell ref="G3:I3"/>
    <mergeCell ref="AD13:AL13"/>
    <mergeCell ref="J3:L3"/>
    <mergeCell ref="M3:O3"/>
    <mergeCell ref="D2:O2"/>
    <mergeCell ref="P2:Q3"/>
    <mergeCell ref="S13:AB13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A. Qattan</dc:creator>
  <cp:lastModifiedBy>M. A. Qattan</cp:lastModifiedBy>
  <dcterms:created xsi:type="dcterms:W3CDTF">2015-06-05T18:17:20Z</dcterms:created>
  <dcterms:modified xsi:type="dcterms:W3CDTF">2025-07-20T11:54:24Z</dcterms:modified>
</cp:coreProperties>
</file>